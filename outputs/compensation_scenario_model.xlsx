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Employee Detail" sheetId="2" state="visible" r:id="rId2"/>
    <sheet name="Scenario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;(#,##0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0" fontId="2" fillId="0" borderId="0" pivotButton="0" quotePrefix="0" xfId="0"/>
    <xf numFmtId="165" fontId="4" fillId="4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166" fontId="4" fillId="0" borderId="1" pivotButton="0" quotePrefix="0" xfId="0"/>
    <xf numFmtId="0" fontId="4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0" fontId="2" fillId="3" borderId="0" applyAlignment="1" pivotButton="0" quotePrefix="0" xfId="0">
      <alignment horizontal="center" wrapText="1"/>
    </xf>
    <xf numFmtId="166" fontId="5" fillId="0" borderId="0" pivotButton="0" quotePrefix="0" xfId="0"/>
    <xf numFmtId="166" fontId="2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6" customWidth="1" min="3" max="3"/>
  </cols>
  <sheetData>
    <row r="1">
      <c r="A1" s="1" t="inlineStr">
        <is>
          <t>WORKFORCE COST SCENARIO MODEL — ASSUMPTIONS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Horizon (months)</t>
        </is>
      </c>
      <c r="B4" s="4" t="n">
        <v>24</v>
      </c>
      <c r="C4" s="3" t="inlineStr">
        <is>
          <t>Projection window</t>
        </is>
      </c>
    </row>
    <row r="5">
      <c r="A5" s="3" t="inlineStr">
        <is>
          <t>Retention raise %</t>
        </is>
      </c>
      <c r="B5" s="5" t="n">
        <v>0.08</v>
      </c>
      <c r="C5" s="3" t="inlineStr">
        <is>
          <t>Targeted raise to watchlist</t>
        </is>
      </c>
    </row>
    <row r="6">
      <c r="A6" s="3" t="inlineStr">
        <is>
          <t>Risk reduction from raise</t>
        </is>
      </c>
      <c r="B6" s="5" t="n">
        <v>0.45</v>
      </c>
      <c r="C6" s="3" t="inlineStr">
        <is>
          <t>Fractional cut to churn prob after raise</t>
        </is>
      </c>
    </row>
    <row r="7">
      <c r="A7" s="3" t="inlineStr">
        <is>
          <t>Productivity gap (months)</t>
        </is>
      </c>
      <c r="B7" s="4" t="n">
        <v>3</v>
      </c>
      <c r="C7" s="3" t="inlineStr">
        <is>
          <t>Lost productivity per backfill (reactive)</t>
        </is>
      </c>
    </row>
    <row r="9">
      <c r="A9" s="6" t="inlineStr">
        <is>
          <t>Replacement cost multiplier by job level (x annual salary):</t>
        </is>
      </c>
    </row>
    <row r="10">
      <c r="A10" s="3" t="inlineStr">
        <is>
          <t>L1 - Junior</t>
        </is>
      </c>
      <c r="B10" s="7" t="n">
        <v>0.5</v>
      </c>
    </row>
    <row r="11">
      <c r="A11" s="3" t="inlineStr">
        <is>
          <t>L2 - Mid</t>
        </is>
      </c>
      <c r="B11" s="7" t="n">
        <v>0.75</v>
      </c>
    </row>
    <row r="12">
      <c r="A12" s="3" t="inlineStr">
        <is>
          <t>L3 - Senior</t>
        </is>
      </c>
      <c r="B12" s="7" t="n">
        <v>1</v>
      </c>
    </row>
    <row r="13">
      <c r="A13" s="3" t="inlineStr">
        <is>
          <t>L4 - Lead</t>
        </is>
      </c>
      <c r="B13" s="7" t="n">
        <v>1.25</v>
      </c>
    </row>
    <row r="14">
      <c r="A14" s="3" t="inlineStr">
        <is>
          <t>L5 - Manager</t>
        </is>
      </c>
      <c r="B14" s="7" t="n">
        <v>1.5</v>
      </c>
    </row>
    <row r="15">
      <c r="A15" s="3" t="inlineStr">
        <is>
          <t>L6 - Director</t>
        </is>
      </c>
      <c r="B15" s="7" t="n">
        <v>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5" customWidth="1" min="4" max="4"/>
    <col width="10" customWidth="1" min="5" max="5"/>
    <col width="13" customWidth="1" min="6" max="6"/>
    <col width="11" customWidth="1" min="7" max="7"/>
    <col width="12" customWidth="1" min="8" max="8"/>
    <col width="16" customWidth="1" min="9" max="9"/>
    <col width="12" customWidth="1" min="10" max="10"/>
    <col width="18" customWidth="1" min="11" max="11"/>
    <col width="18" customWidth="1" min="12" max="12"/>
  </cols>
  <sheetData>
    <row r="1">
      <c r="A1" s="8" t="inlineStr">
        <is>
          <t>Employee ID</t>
        </is>
      </c>
      <c r="B1" s="8" t="inlineStr">
        <is>
          <t>Department</t>
        </is>
      </c>
      <c r="C1" s="8" t="inlineStr">
        <is>
          <t>Job Level</t>
        </is>
      </c>
      <c r="D1" s="8" t="inlineStr">
        <is>
          <t>Base Salary (EUR)</t>
        </is>
      </c>
      <c r="E1" s="8" t="inlineStr">
        <is>
          <t>Risk Score</t>
        </is>
      </c>
      <c r="F1" s="8" t="inlineStr">
        <is>
          <t>Annual Churn Prob</t>
        </is>
      </c>
      <c r="G1" s="8" t="inlineStr">
        <is>
          <t>On Watchlist</t>
        </is>
      </c>
      <c r="H1" s="8" t="inlineStr">
        <is>
          <t>Repl. Multiplier</t>
        </is>
      </c>
      <c r="I1" s="8" t="inlineStr">
        <is>
          <t>Replacement Cost (EUR)</t>
        </is>
      </c>
      <c r="J1" s="8" t="inlineStr">
        <is>
          <t>P(leave 24m)</t>
        </is>
      </c>
      <c r="K1" s="8" t="inlineStr">
        <is>
          <t>Exp. Replacement (Status Quo)</t>
        </is>
      </c>
      <c r="L1" s="8" t="inlineStr">
        <is>
          <t>Exp. Replacement (Proactive)</t>
        </is>
      </c>
    </row>
    <row r="2">
      <c r="A2" s="9" t="inlineStr">
        <is>
          <t>DF-100053</t>
        </is>
      </c>
      <c r="B2" s="9" t="inlineStr">
        <is>
          <t>Customer Success</t>
        </is>
      </c>
      <c r="C2" s="9" t="inlineStr">
        <is>
          <t>L3 - Senior</t>
        </is>
      </c>
      <c r="D2" s="10" t="n">
        <v>57643</v>
      </c>
      <c r="E2" s="11" t="n">
        <v>78.7</v>
      </c>
      <c r="F2" s="12">
        <f>E2/100</f>
        <v/>
      </c>
      <c r="G2" s="9" t="inlineStr">
        <is>
          <t>Yes</t>
        </is>
      </c>
      <c r="H2" s="13">
        <f>VLOOKUP(C2,Assumptions!$A$10:$B$15,2,FALSE)</f>
        <v/>
      </c>
      <c r="I2" s="14">
        <f>D2*H2</f>
        <v/>
      </c>
      <c r="J2" s="12">
        <f>1-(1-F2)^(Assumptions!$B$4/12)</f>
        <v/>
      </c>
      <c r="K2" s="14">
        <f>J2*I2</f>
        <v/>
      </c>
      <c r="L2" s="14">
        <f>IF(G2="Yes",(1-(1-F2*(1-Assumptions!$B$6))^(Assumptions!$B$4/12))*I2,K2)</f>
        <v/>
      </c>
    </row>
    <row r="3">
      <c r="A3" s="9" t="inlineStr">
        <is>
          <t>DF-100502</t>
        </is>
      </c>
      <c r="B3" s="9" t="inlineStr">
        <is>
          <t>Engineering</t>
        </is>
      </c>
      <c r="C3" s="9" t="inlineStr">
        <is>
          <t>L2 - Mid</t>
        </is>
      </c>
      <c r="D3" s="10" t="n">
        <v>67306</v>
      </c>
      <c r="E3" s="11" t="n">
        <v>77.40000000000001</v>
      </c>
      <c r="F3" s="12">
        <f>E3/100</f>
        <v/>
      </c>
      <c r="G3" s="9" t="inlineStr">
        <is>
          <t>Yes</t>
        </is>
      </c>
      <c r="H3" s="13">
        <f>VLOOKUP(C3,Assumptions!$A$10:$B$15,2,FALSE)</f>
        <v/>
      </c>
      <c r="I3" s="14">
        <f>D3*H3</f>
        <v/>
      </c>
      <c r="J3" s="12">
        <f>1-(1-F3)^(Assumptions!$B$4/12)</f>
        <v/>
      </c>
      <c r="K3" s="14">
        <f>J3*I3</f>
        <v/>
      </c>
      <c r="L3" s="14">
        <f>IF(G3="Yes",(1-(1-F3*(1-Assumptions!$B$6))^(Assumptions!$B$4/12))*I3,K3)</f>
        <v/>
      </c>
    </row>
    <row r="4">
      <c r="A4" s="9" t="inlineStr">
        <is>
          <t>DF-100566</t>
        </is>
      </c>
      <c r="B4" s="9" t="inlineStr">
        <is>
          <t>Customer Success</t>
        </is>
      </c>
      <c r="C4" s="9" t="inlineStr">
        <is>
          <t>L3 - Senior</t>
        </is>
      </c>
      <c r="D4" s="10" t="n">
        <v>69711</v>
      </c>
      <c r="E4" s="11" t="n">
        <v>77.09999999999999</v>
      </c>
      <c r="F4" s="12">
        <f>E4/100</f>
        <v/>
      </c>
      <c r="G4" s="9" t="inlineStr">
        <is>
          <t>Yes</t>
        </is>
      </c>
      <c r="H4" s="13">
        <f>VLOOKUP(C4,Assumptions!$A$10:$B$15,2,FALSE)</f>
        <v/>
      </c>
      <c r="I4" s="14">
        <f>D4*H4</f>
        <v/>
      </c>
      <c r="J4" s="12">
        <f>1-(1-F4)^(Assumptions!$B$4/12)</f>
        <v/>
      </c>
      <c r="K4" s="14">
        <f>J4*I4</f>
        <v/>
      </c>
      <c r="L4" s="14">
        <f>IF(G4="Yes",(1-(1-F4*(1-Assumptions!$B$6))^(Assumptions!$B$4/12))*I4,K4)</f>
        <v/>
      </c>
    </row>
    <row r="5">
      <c r="A5" s="9" t="inlineStr">
        <is>
          <t>DF-100069</t>
        </is>
      </c>
      <c r="B5" s="9" t="inlineStr">
        <is>
          <t>Customer Success</t>
        </is>
      </c>
      <c r="C5" s="9" t="inlineStr">
        <is>
          <t>L3 - Senior</t>
        </is>
      </c>
      <c r="D5" s="10" t="n">
        <v>63602</v>
      </c>
      <c r="E5" s="11" t="n">
        <v>76.5</v>
      </c>
      <c r="F5" s="12">
        <f>E5/100</f>
        <v/>
      </c>
      <c r="G5" s="9" t="inlineStr">
        <is>
          <t>Yes</t>
        </is>
      </c>
      <c r="H5" s="13">
        <f>VLOOKUP(C5,Assumptions!$A$10:$B$15,2,FALSE)</f>
        <v/>
      </c>
      <c r="I5" s="14">
        <f>D5*H5</f>
        <v/>
      </c>
      <c r="J5" s="12">
        <f>1-(1-F5)^(Assumptions!$B$4/12)</f>
        <v/>
      </c>
      <c r="K5" s="14">
        <f>J5*I5</f>
        <v/>
      </c>
      <c r="L5" s="14">
        <f>IF(G5="Yes",(1-(1-F5*(1-Assumptions!$B$6))^(Assumptions!$B$4/12))*I5,K5)</f>
        <v/>
      </c>
    </row>
    <row r="6">
      <c r="A6" s="9" t="inlineStr">
        <is>
          <t>DF-100663</t>
        </is>
      </c>
      <c r="B6" s="9" t="inlineStr">
        <is>
          <t>Engineering</t>
        </is>
      </c>
      <c r="C6" s="9" t="inlineStr">
        <is>
          <t>L1 - Junior</t>
        </is>
      </c>
      <c r="D6" s="10" t="n">
        <v>52094</v>
      </c>
      <c r="E6" s="11" t="n">
        <v>75.90000000000001</v>
      </c>
      <c r="F6" s="12">
        <f>E6/100</f>
        <v/>
      </c>
      <c r="G6" s="9" t="inlineStr">
        <is>
          <t>Yes</t>
        </is>
      </c>
      <c r="H6" s="13">
        <f>VLOOKUP(C6,Assumptions!$A$10:$B$15,2,FALSE)</f>
        <v/>
      </c>
      <c r="I6" s="14">
        <f>D6*H6</f>
        <v/>
      </c>
      <c r="J6" s="12">
        <f>1-(1-F6)^(Assumptions!$B$4/12)</f>
        <v/>
      </c>
      <c r="K6" s="14">
        <f>J6*I6</f>
        <v/>
      </c>
      <c r="L6" s="14">
        <f>IF(G6="Yes",(1-(1-F6*(1-Assumptions!$B$6))^(Assumptions!$B$4/12))*I6,K6)</f>
        <v/>
      </c>
    </row>
    <row r="7">
      <c r="A7" s="9" t="inlineStr">
        <is>
          <t>DF-100152</t>
        </is>
      </c>
      <c r="B7" s="9" t="inlineStr">
        <is>
          <t>Operations</t>
        </is>
      </c>
      <c r="C7" s="9" t="inlineStr">
        <is>
          <t>L4 - Lead</t>
        </is>
      </c>
      <c r="D7" s="10" t="n">
        <v>84006</v>
      </c>
      <c r="E7" s="11" t="n">
        <v>75.8</v>
      </c>
      <c r="F7" s="12">
        <f>E7/100</f>
        <v/>
      </c>
      <c r="G7" s="9" t="inlineStr">
        <is>
          <t>Yes</t>
        </is>
      </c>
      <c r="H7" s="13">
        <f>VLOOKUP(C7,Assumptions!$A$10:$B$15,2,FALSE)</f>
        <v/>
      </c>
      <c r="I7" s="14">
        <f>D7*H7</f>
        <v/>
      </c>
      <c r="J7" s="12">
        <f>1-(1-F7)^(Assumptions!$B$4/12)</f>
        <v/>
      </c>
      <c r="K7" s="14">
        <f>J7*I7</f>
        <v/>
      </c>
      <c r="L7" s="14">
        <f>IF(G7="Yes",(1-(1-F7*(1-Assumptions!$B$6))^(Assumptions!$B$4/12))*I7,K7)</f>
        <v/>
      </c>
    </row>
    <row r="8">
      <c r="A8" s="9" t="inlineStr">
        <is>
          <t>DF-100232</t>
        </is>
      </c>
      <c r="B8" s="9" t="inlineStr">
        <is>
          <t>Finance</t>
        </is>
      </c>
      <c r="C8" s="9" t="inlineStr">
        <is>
          <t>L2 - Mid</t>
        </is>
      </c>
      <c r="D8" s="10" t="n">
        <v>61765</v>
      </c>
      <c r="E8" s="11" t="n">
        <v>75</v>
      </c>
      <c r="F8" s="12">
        <f>E8/100</f>
        <v/>
      </c>
      <c r="G8" s="9" t="inlineStr">
        <is>
          <t>Yes</t>
        </is>
      </c>
      <c r="H8" s="13">
        <f>VLOOKUP(C8,Assumptions!$A$10:$B$15,2,FALSE)</f>
        <v/>
      </c>
      <c r="I8" s="14">
        <f>D8*H8</f>
        <v/>
      </c>
      <c r="J8" s="12">
        <f>1-(1-F8)^(Assumptions!$B$4/12)</f>
        <v/>
      </c>
      <c r="K8" s="14">
        <f>J8*I8</f>
        <v/>
      </c>
      <c r="L8" s="14">
        <f>IF(G8="Yes",(1-(1-F8*(1-Assumptions!$B$6))^(Assumptions!$B$4/12))*I8,K8)</f>
        <v/>
      </c>
    </row>
    <row r="9">
      <c r="A9" s="9" t="inlineStr">
        <is>
          <t>DF-100642</t>
        </is>
      </c>
      <c r="B9" s="9" t="inlineStr">
        <is>
          <t>Sales</t>
        </is>
      </c>
      <c r="C9" s="9" t="inlineStr">
        <is>
          <t>L1 - Junior</t>
        </is>
      </c>
      <c r="D9" s="10" t="n">
        <v>44002</v>
      </c>
      <c r="E9" s="11" t="n">
        <v>74.90000000000001</v>
      </c>
      <c r="F9" s="12">
        <f>E9/100</f>
        <v/>
      </c>
      <c r="G9" s="9" t="inlineStr">
        <is>
          <t>Yes</t>
        </is>
      </c>
      <c r="H9" s="13">
        <f>VLOOKUP(C9,Assumptions!$A$10:$B$15,2,FALSE)</f>
        <v/>
      </c>
      <c r="I9" s="14">
        <f>D9*H9</f>
        <v/>
      </c>
      <c r="J9" s="12">
        <f>1-(1-F9)^(Assumptions!$B$4/12)</f>
        <v/>
      </c>
      <c r="K9" s="14">
        <f>J9*I9</f>
        <v/>
      </c>
      <c r="L9" s="14">
        <f>IF(G9="Yes",(1-(1-F9*(1-Assumptions!$B$6))^(Assumptions!$B$4/12))*I9,K9)</f>
        <v/>
      </c>
    </row>
    <row r="10">
      <c r="A10" s="9" t="inlineStr">
        <is>
          <t>DF-100509</t>
        </is>
      </c>
      <c r="B10" s="9" t="inlineStr">
        <is>
          <t>People/HR</t>
        </is>
      </c>
      <c r="C10" s="9" t="inlineStr">
        <is>
          <t>L1 - Junior</t>
        </is>
      </c>
      <c r="D10" s="10" t="n">
        <v>45771</v>
      </c>
      <c r="E10" s="11" t="n">
        <v>73.59999999999999</v>
      </c>
      <c r="F10" s="12">
        <f>E10/100</f>
        <v/>
      </c>
      <c r="G10" s="9" t="inlineStr">
        <is>
          <t>Yes</t>
        </is>
      </c>
      <c r="H10" s="13">
        <f>VLOOKUP(C10,Assumptions!$A$10:$B$15,2,FALSE)</f>
        <v/>
      </c>
      <c r="I10" s="14">
        <f>D10*H10</f>
        <v/>
      </c>
      <c r="J10" s="12">
        <f>1-(1-F10)^(Assumptions!$B$4/12)</f>
        <v/>
      </c>
      <c r="K10" s="14">
        <f>J10*I10</f>
        <v/>
      </c>
      <c r="L10" s="14">
        <f>IF(G10="Yes",(1-(1-F10*(1-Assumptions!$B$6))^(Assumptions!$B$4/12))*I10,K10)</f>
        <v/>
      </c>
    </row>
    <row r="11">
      <c r="A11" s="9" t="inlineStr">
        <is>
          <t>DF-100158</t>
        </is>
      </c>
      <c r="B11" s="9" t="inlineStr">
        <is>
          <t>Customer Success</t>
        </is>
      </c>
      <c r="C11" s="9" t="inlineStr">
        <is>
          <t>L1 - Junior</t>
        </is>
      </c>
      <c r="D11" s="10" t="n">
        <v>50498</v>
      </c>
      <c r="E11" s="11" t="n">
        <v>73.59999999999999</v>
      </c>
      <c r="F11" s="12">
        <f>E11/100</f>
        <v/>
      </c>
      <c r="G11" s="9" t="inlineStr">
        <is>
          <t>Yes</t>
        </is>
      </c>
      <c r="H11" s="13">
        <f>VLOOKUP(C11,Assumptions!$A$10:$B$15,2,FALSE)</f>
        <v/>
      </c>
      <c r="I11" s="14">
        <f>D11*H11</f>
        <v/>
      </c>
      <c r="J11" s="12">
        <f>1-(1-F11)^(Assumptions!$B$4/12)</f>
        <v/>
      </c>
      <c r="K11" s="14">
        <f>J11*I11</f>
        <v/>
      </c>
      <c r="L11" s="14">
        <f>IF(G11="Yes",(1-(1-F11*(1-Assumptions!$B$6))^(Assumptions!$B$4/12))*I11,K11)</f>
        <v/>
      </c>
    </row>
    <row r="12">
      <c r="A12" s="9" t="inlineStr">
        <is>
          <t>DF-100358</t>
        </is>
      </c>
      <c r="B12" s="9" t="inlineStr">
        <is>
          <t>Data &amp; Analytics</t>
        </is>
      </c>
      <c r="C12" s="9" t="inlineStr">
        <is>
          <t>L1 - Junior</t>
        </is>
      </c>
      <c r="D12" s="10" t="n">
        <v>41026</v>
      </c>
      <c r="E12" s="11" t="n">
        <v>72.3</v>
      </c>
      <c r="F12" s="12">
        <f>E12/100</f>
        <v/>
      </c>
      <c r="G12" s="9" t="inlineStr">
        <is>
          <t>Yes</t>
        </is>
      </c>
      <c r="H12" s="13">
        <f>VLOOKUP(C12,Assumptions!$A$10:$B$15,2,FALSE)</f>
        <v/>
      </c>
      <c r="I12" s="14">
        <f>D12*H12</f>
        <v/>
      </c>
      <c r="J12" s="12">
        <f>1-(1-F12)^(Assumptions!$B$4/12)</f>
        <v/>
      </c>
      <c r="K12" s="14">
        <f>J12*I12</f>
        <v/>
      </c>
      <c r="L12" s="14">
        <f>IF(G12="Yes",(1-(1-F12*(1-Assumptions!$B$6))^(Assumptions!$B$4/12))*I12,K12)</f>
        <v/>
      </c>
    </row>
    <row r="13">
      <c r="A13" s="9" t="inlineStr">
        <is>
          <t>DF-100132</t>
        </is>
      </c>
      <c r="B13" s="9" t="inlineStr">
        <is>
          <t>Engineering</t>
        </is>
      </c>
      <c r="C13" s="9" t="inlineStr">
        <is>
          <t>L6 - Director</t>
        </is>
      </c>
      <c r="D13" s="10" t="n">
        <v>69256</v>
      </c>
      <c r="E13" s="11" t="n">
        <v>71.8</v>
      </c>
      <c r="F13" s="12">
        <f>E13/100</f>
        <v/>
      </c>
      <c r="G13" s="9" t="inlineStr">
        <is>
          <t>Yes</t>
        </is>
      </c>
      <c r="H13" s="13">
        <f>VLOOKUP(C13,Assumptions!$A$10:$B$15,2,FALSE)</f>
        <v/>
      </c>
      <c r="I13" s="14">
        <f>D13*H13</f>
        <v/>
      </c>
      <c r="J13" s="12">
        <f>1-(1-F13)^(Assumptions!$B$4/12)</f>
        <v/>
      </c>
      <c r="K13" s="14">
        <f>J13*I13</f>
        <v/>
      </c>
      <c r="L13" s="14">
        <f>IF(G13="Yes",(1-(1-F13*(1-Assumptions!$B$6))^(Assumptions!$B$4/12))*I13,K13)</f>
        <v/>
      </c>
    </row>
    <row r="14">
      <c r="A14" s="9" t="inlineStr">
        <is>
          <t>DF-100511</t>
        </is>
      </c>
      <c r="B14" s="9" t="inlineStr">
        <is>
          <t>Marketing</t>
        </is>
      </c>
      <c r="C14" s="9" t="inlineStr">
        <is>
          <t>L1 - Junior</t>
        </is>
      </c>
      <c r="D14" s="10" t="n">
        <v>42928</v>
      </c>
      <c r="E14" s="11" t="n">
        <v>71</v>
      </c>
      <c r="F14" s="12">
        <f>E14/100</f>
        <v/>
      </c>
      <c r="G14" s="9" t="inlineStr">
        <is>
          <t>Yes</t>
        </is>
      </c>
      <c r="H14" s="13">
        <f>VLOOKUP(C14,Assumptions!$A$10:$B$15,2,FALSE)</f>
        <v/>
      </c>
      <c r="I14" s="14">
        <f>D14*H14</f>
        <v/>
      </c>
      <c r="J14" s="12">
        <f>1-(1-F14)^(Assumptions!$B$4/12)</f>
        <v/>
      </c>
      <c r="K14" s="14">
        <f>J14*I14</f>
        <v/>
      </c>
      <c r="L14" s="14">
        <f>IF(G14="Yes",(1-(1-F14*(1-Assumptions!$B$6))^(Assumptions!$B$4/12))*I14,K14)</f>
        <v/>
      </c>
    </row>
    <row r="15">
      <c r="A15" s="9" t="inlineStr">
        <is>
          <t>DF-100275</t>
        </is>
      </c>
      <c r="B15" s="9" t="inlineStr">
        <is>
          <t>Operations</t>
        </is>
      </c>
      <c r="C15" s="9" t="inlineStr">
        <is>
          <t>L4 - Lead</t>
        </is>
      </c>
      <c r="D15" s="10" t="n">
        <v>69484</v>
      </c>
      <c r="E15" s="11" t="n">
        <v>70.90000000000001</v>
      </c>
      <c r="F15" s="12">
        <f>E15/100</f>
        <v/>
      </c>
      <c r="G15" s="9" t="inlineStr">
        <is>
          <t>Yes</t>
        </is>
      </c>
      <c r="H15" s="13">
        <f>VLOOKUP(C15,Assumptions!$A$10:$B$15,2,FALSE)</f>
        <v/>
      </c>
      <c r="I15" s="14">
        <f>D15*H15</f>
        <v/>
      </c>
      <c r="J15" s="12">
        <f>1-(1-F15)^(Assumptions!$B$4/12)</f>
        <v/>
      </c>
      <c r="K15" s="14">
        <f>J15*I15</f>
        <v/>
      </c>
      <c r="L15" s="14">
        <f>IF(G15="Yes",(1-(1-F15*(1-Assumptions!$B$6))^(Assumptions!$B$4/12))*I15,K15)</f>
        <v/>
      </c>
    </row>
    <row r="16">
      <c r="A16" s="9" t="inlineStr">
        <is>
          <t>DF-100290</t>
        </is>
      </c>
      <c r="B16" s="9" t="inlineStr">
        <is>
          <t>Engineering</t>
        </is>
      </c>
      <c r="C16" s="9" t="inlineStr">
        <is>
          <t>L2 - Mid</t>
        </is>
      </c>
      <c r="D16" s="10" t="n">
        <v>69222</v>
      </c>
      <c r="E16" s="11" t="n">
        <v>70.8</v>
      </c>
      <c r="F16" s="12">
        <f>E16/100</f>
        <v/>
      </c>
      <c r="G16" s="9" t="inlineStr">
        <is>
          <t>Yes</t>
        </is>
      </c>
      <c r="H16" s="13">
        <f>VLOOKUP(C16,Assumptions!$A$10:$B$15,2,FALSE)</f>
        <v/>
      </c>
      <c r="I16" s="14">
        <f>D16*H16</f>
        <v/>
      </c>
      <c r="J16" s="12">
        <f>1-(1-F16)^(Assumptions!$B$4/12)</f>
        <v/>
      </c>
      <c r="K16" s="14">
        <f>J16*I16</f>
        <v/>
      </c>
      <c r="L16" s="14">
        <f>IF(G16="Yes",(1-(1-F16*(1-Assumptions!$B$6))^(Assumptions!$B$4/12))*I16,K16)</f>
        <v/>
      </c>
    </row>
    <row r="17">
      <c r="A17" s="9" t="inlineStr">
        <is>
          <t>DF-100468</t>
        </is>
      </c>
      <c r="B17" s="9" t="inlineStr">
        <is>
          <t>Product</t>
        </is>
      </c>
      <c r="C17" s="9" t="inlineStr">
        <is>
          <t>L2 - Mid</t>
        </is>
      </c>
      <c r="D17" s="10" t="n">
        <v>68075</v>
      </c>
      <c r="E17" s="11" t="n">
        <v>70.2</v>
      </c>
      <c r="F17" s="12">
        <f>E17/100</f>
        <v/>
      </c>
      <c r="G17" s="9" t="inlineStr">
        <is>
          <t>Yes</t>
        </is>
      </c>
      <c r="H17" s="13">
        <f>VLOOKUP(C17,Assumptions!$A$10:$B$15,2,FALSE)</f>
        <v/>
      </c>
      <c r="I17" s="14">
        <f>D17*H17</f>
        <v/>
      </c>
      <c r="J17" s="12">
        <f>1-(1-F17)^(Assumptions!$B$4/12)</f>
        <v/>
      </c>
      <c r="K17" s="14">
        <f>J17*I17</f>
        <v/>
      </c>
      <c r="L17" s="14">
        <f>IF(G17="Yes",(1-(1-F17*(1-Assumptions!$B$6))^(Assumptions!$B$4/12))*I17,K17)</f>
        <v/>
      </c>
    </row>
    <row r="18">
      <c r="A18" s="9" t="inlineStr">
        <is>
          <t>DF-100284</t>
        </is>
      </c>
      <c r="B18" s="9" t="inlineStr">
        <is>
          <t>Data &amp; Analytics</t>
        </is>
      </c>
      <c r="C18" s="9" t="inlineStr">
        <is>
          <t>L1 - Junior</t>
        </is>
      </c>
      <c r="D18" s="10" t="n">
        <v>51129</v>
      </c>
      <c r="E18" s="11" t="n">
        <v>69.90000000000001</v>
      </c>
      <c r="F18" s="12">
        <f>E18/100</f>
        <v/>
      </c>
      <c r="G18" s="9" t="inlineStr">
        <is>
          <t>Yes</t>
        </is>
      </c>
      <c r="H18" s="13">
        <f>VLOOKUP(C18,Assumptions!$A$10:$B$15,2,FALSE)</f>
        <v/>
      </c>
      <c r="I18" s="14">
        <f>D18*H18</f>
        <v/>
      </c>
      <c r="J18" s="12">
        <f>1-(1-F18)^(Assumptions!$B$4/12)</f>
        <v/>
      </c>
      <c r="K18" s="14">
        <f>J18*I18</f>
        <v/>
      </c>
      <c r="L18" s="14">
        <f>IF(G18="Yes",(1-(1-F18*(1-Assumptions!$B$6))^(Assumptions!$B$4/12))*I18,K18)</f>
        <v/>
      </c>
    </row>
    <row r="19">
      <c r="A19" s="9" t="inlineStr">
        <is>
          <t>DF-100261</t>
        </is>
      </c>
      <c r="B19" s="9" t="inlineStr">
        <is>
          <t>Support</t>
        </is>
      </c>
      <c r="C19" s="9" t="inlineStr">
        <is>
          <t>L2 - Mid</t>
        </is>
      </c>
      <c r="D19" s="10" t="n">
        <v>42366</v>
      </c>
      <c r="E19" s="11" t="n">
        <v>68.90000000000001</v>
      </c>
      <c r="F19" s="12">
        <f>E19/100</f>
        <v/>
      </c>
      <c r="G19" s="9" t="inlineStr">
        <is>
          <t>Yes</t>
        </is>
      </c>
      <c r="H19" s="13">
        <f>VLOOKUP(C19,Assumptions!$A$10:$B$15,2,FALSE)</f>
        <v/>
      </c>
      <c r="I19" s="14">
        <f>D19*H19</f>
        <v/>
      </c>
      <c r="J19" s="12">
        <f>1-(1-F19)^(Assumptions!$B$4/12)</f>
        <v/>
      </c>
      <c r="K19" s="14">
        <f>J19*I19</f>
        <v/>
      </c>
      <c r="L19" s="14">
        <f>IF(G19="Yes",(1-(1-F19*(1-Assumptions!$B$6))^(Assumptions!$B$4/12))*I19,K19)</f>
        <v/>
      </c>
    </row>
    <row r="20">
      <c r="A20" s="9" t="inlineStr">
        <is>
          <t>DF-100090</t>
        </is>
      </c>
      <c r="B20" s="9" t="inlineStr">
        <is>
          <t>Product</t>
        </is>
      </c>
      <c r="C20" s="9" t="inlineStr">
        <is>
          <t>L3 - Senior</t>
        </is>
      </c>
      <c r="D20" s="10" t="n">
        <v>105568</v>
      </c>
      <c r="E20" s="11" t="n">
        <v>68.8</v>
      </c>
      <c r="F20" s="12">
        <f>E20/100</f>
        <v/>
      </c>
      <c r="G20" s="9" t="inlineStr">
        <is>
          <t>Yes</t>
        </is>
      </c>
      <c r="H20" s="13">
        <f>VLOOKUP(C20,Assumptions!$A$10:$B$15,2,FALSE)</f>
        <v/>
      </c>
      <c r="I20" s="14">
        <f>D20*H20</f>
        <v/>
      </c>
      <c r="J20" s="12">
        <f>1-(1-F20)^(Assumptions!$B$4/12)</f>
        <v/>
      </c>
      <c r="K20" s="14">
        <f>J20*I20</f>
        <v/>
      </c>
      <c r="L20" s="14">
        <f>IF(G20="Yes",(1-(1-F20*(1-Assumptions!$B$6))^(Assumptions!$B$4/12))*I20,K20)</f>
        <v/>
      </c>
    </row>
    <row r="21">
      <c r="A21" s="9" t="inlineStr">
        <is>
          <t>DF-100486</t>
        </is>
      </c>
      <c r="B21" s="9" t="inlineStr">
        <is>
          <t>Product</t>
        </is>
      </c>
      <c r="C21" s="9" t="inlineStr">
        <is>
          <t>L4 - Lead</t>
        </is>
      </c>
      <c r="D21" s="10" t="n">
        <v>130110</v>
      </c>
      <c r="E21" s="11" t="n">
        <v>67</v>
      </c>
      <c r="F21" s="12">
        <f>E21/100</f>
        <v/>
      </c>
      <c r="G21" s="9" t="inlineStr">
        <is>
          <t>Yes</t>
        </is>
      </c>
      <c r="H21" s="13">
        <f>VLOOKUP(C21,Assumptions!$A$10:$B$15,2,FALSE)</f>
        <v/>
      </c>
      <c r="I21" s="14">
        <f>D21*H21</f>
        <v/>
      </c>
      <c r="J21" s="12">
        <f>1-(1-F21)^(Assumptions!$B$4/12)</f>
        <v/>
      </c>
      <c r="K21" s="14">
        <f>J21*I21</f>
        <v/>
      </c>
      <c r="L21" s="14">
        <f>IF(G21="Yes",(1-(1-F21*(1-Assumptions!$B$6))^(Assumptions!$B$4/12))*I21,K21)</f>
        <v/>
      </c>
    </row>
    <row r="22">
      <c r="A22" s="9" t="inlineStr">
        <is>
          <t>DF-100576</t>
        </is>
      </c>
      <c r="B22" s="9" t="inlineStr">
        <is>
          <t>Customer Success</t>
        </is>
      </c>
      <c r="C22" s="9" t="inlineStr">
        <is>
          <t>L3 - Senior</t>
        </is>
      </c>
      <c r="D22" s="10" t="n">
        <v>89286</v>
      </c>
      <c r="E22" s="11" t="n">
        <v>66.8</v>
      </c>
      <c r="F22" s="12">
        <f>E22/100</f>
        <v/>
      </c>
      <c r="G22" s="9" t="inlineStr">
        <is>
          <t>Yes</t>
        </is>
      </c>
      <c r="H22" s="13">
        <f>VLOOKUP(C22,Assumptions!$A$10:$B$15,2,FALSE)</f>
        <v/>
      </c>
      <c r="I22" s="14">
        <f>D22*H22</f>
        <v/>
      </c>
      <c r="J22" s="12">
        <f>1-(1-F22)^(Assumptions!$B$4/12)</f>
        <v/>
      </c>
      <c r="K22" s="14">
        <f>J22*I22</f>
        <v/>
      </c>
      <c r="L22" s="14">
        <f>IF(G22="Yes",(1-(1-F22*(1-Assumptions!$B$6))^(Assumptions!$B$4/12))*I22,K22)</f>
        <v/>
      </c>
    </row>
    <row r="23">
      <c r="A23" s="9" t="inlineStr">
        <is>
          <t>DF-100252</t>
        </is>
      </c>
      <c r="B23" s="9" t="inlineStr">
        <is>
          <t>Finance</t>
        </is>
      </c>
      <c r="C23" s="9" t="inlineStr">
        <is>
          <t>L3 - Senior</t>
        </is>
      </c>
      <c r="D23" s="10" t="n">
        <v>80574</v>
      </c>
      <c r="E23" s="11" t="n">
        <v>66.8</v>
      </c>
      <c r="F23" s="12">
        <f>E23/100</f>
        <v/>
      </c>
      <c r="G23" s="9" t="inlineStr">
        <is>
          <t>Yes</t>
        </is>
      </c>
      <c r="H23" s="13">
        <f>VLOOKUP(C23,Assumptions!$A$10:$B$15,2,FALSE)</f>
        <v/>
      </c>
      <c r="I23" s="14">
        <f>D23*H23</f>
        <v/>
      </c>
      <c r="J23" s="12">
        <f>1-(1-F23)^(Assumptions!$B$4/12)</f>
        <v/>
      </c>
      <c r="K23" s="14">
        <f>J23*I23</f>
        <v/>
      </c>
      <c r="L23" s="14">
        <f>IF(G23="Yes",(1-(1-F23*(1-Assumptions!$B$6))^(Assumptions!$B$4/12))*I23,K23)</f>
        <v/>
      </c>
    </row>
    <row r="24">
      <c r="A24" s="9" t="inlineStr">
        <is>
          <t>DF-100374</t>
        </is>
      </c>
      <c r="B24" s="9" t="inlineStr">
        <is>
          <t>Product</t>
        </is>
      </c>
      <c r="C24" s="9" t="inlineStr">
        <is>
          <t>L1 - Junior</t>
        </is>
      </c>
      <c r="D24" s="10" t="n">
        <v>46920</v>
      </c>
      <c r="E24" s="11" t="n">
        <v>66.40000000000001</v>
      </c>
      <c r="F24" s="12">
        <f>E24/100</f>
        <v/>
      </c>
      <c r="G24" s="9" t="inlineStr">
        <is>
          <t>Yes</t>
        </is>
      </c>
      <c r="H24" s="13">
        <f>VLOOKUP(C24,Assumptions!$A$10:$B$15,2,FALSE)</f>
        <v/>
      </c>
      <c r="I24" s="14">
        <f>D24*H24</f>
        <v/>
      </c>
      <c r="J24" s="12">
        <f>1-(1-F24)^(Assumptions!$B$4/12)</f>
        <v/>
      </c>
      <c r="K24" s="14">
        <f>J24*I24</f>
        <v/>
      </c>
      <c r="L24" s="14">
        <f>IF(G24="Yes",(1-(1-F24*(1-Assumptions!$B$6))^(Assumptions!$B$4/12))*I24,K24)</f>
        <v/>
      </c>
    </row>
    <row r="25">
      <c r="A25" s="9" t="inlineStr">
        <is>
          <t>DF-100107</t>
        </is>
      </c>
      <c r="B25" s="9" t="inlineStr">
        <is>
          <t>Engineering</t>
        </is>
      </c>
      <c r="C25" s="9" t="inlineStr">
        <is>
          <t>L3 - Senior</t>
        </is>
      </c>
      <c r="D25" s="10" t="n">
        <v>96730</v>
      </c>
      <c r="E25" s="11" t="n">
        <v>66</v>
      </c>
      <c r="F25" s="12">
        <f>E25/100</f>
        <v/>
      </c>
      <c r="G25" s="9" t="inlineStr">
        <is>
          <t>Yes</t>
        </is>
      </c>
      <c r="H25" s="13">
        <f>VLOOKUP(C25,Assumptions!$A$10:$B$15,2,FALSE)</f>
        <v/>
      </c>
      <c r="I25" s="14">
        <f>D25*H25</f>
        <v/>
      </c>
      <c r="J25" s="12">
        <f>1-(1-F25)^(Assumptions!$B$4/12)</f>
        <v/>
      </c>
      <c r="K25" s="14">
        <f>J25*I25</f>
        <v/>
      </c>
      <c r="L25" s="14">
        <f>IF(G25="Yes",(1-(1-F25*(1-Assumptions!$B$6))^(Assumptions!$B$4/12))*I25,K25)</f>
        <v/>
      </c>
    </row>
    <row r="26">
      <c r="A26" s="9" t="inlineStr">
        <is>
          <t>DF-100596</t>
        </is>
      </c>
      <c r="B26" s="9" t="inlineStr">
        <is>
          <t>Customer Success</t>
        </is>
      </c>
      <c r="C26" s="9" t="inlineStr">
        <is>
          <t>L2 - Mid</t>
        </is>
      </c>
      <c r="D26" s="10" t="n">
        <v>56383</v>
      </c>
      <c r="E26" s="11" t="n">
        <v>66</v>
      </c>
      <c r="F26" s="12">
        <f>E26/100</f>
        <v/>
      </c>
      <c r="G26" s="9" t="inlineStr">
        <is>
          <t>Yes</t>
        </is>
      </c>
      <c r="H26" s="13">
        <f>VLOOKUP(C26,Assumptions!$A$10:$B$15,2,FALSE)</f>
        <v/>
      </c>
      <c r="I26" s="14">
        <f>D26*H26</f>
        <v/>
      </c>
      <c r="J26" s="12">
        <f>1-(1-F26)^(Assumptions!$B$4/12)</f>
        <v/>
      </c>
      <c r="K26" s="14">
        <f>J26*I26</f>
        <v/>
      </c>
      <c r="L26" s="14">
        <f>IF(G26="Yes",(1-(1-F26*(1-Assumptions!$B$6))^(Assumptions!$B$4/12))*I26,K26)</f>
        <v/>
      </c>
    </row>
    <row r="27">
      <c r="A27" s="9" t="inlineStr">
        <is>
          <t>DF-100291</t>
        </is>
      </c>
      <c r="B27" s="9" t="inlineStr">
        <is>
          <t>Marketing</t>
        </is>
      </c>
      <c r="C27" s="9" t="inlineStr">
        <is>
          <t>L5 - Manager</t>
        </is>
      </c>
      <c r="D27" s="10" t="n">
        <v>115044</v>
      </c>
      <c r="E27" s="11" t="n">
        <v>65.3</v>
      </c>
      <c r="F27" s="12">
        <f>E27/100</f>
        <v/>
      </c>
      <c r="G27" s="9" t="inlineStr">
        <is>
          <t>Yes</t>
        </is>
      </c>
      <c r="H27" s="13">
        <f>VLOOKUP(C27,Assumptions!$A$10:$B$15,2,FALSE)</f>
        <v/>
      </c>
      <c r="I27" s="14">
        <f>D27*H27</f>
        <v/>
      </c>
      <c r="J27" s="12">
        <f>1-(1-F27)^(Assumptions!$B$4/12)</f>
        <v/>
      </c>
      <c r="K27" s="14">
        <f>J27*I27</f>
        <v/>
      </c>
      <c r="L27" s="14">
        <f>IF(G27="Yes",(1-(1-F27*(1-Assumptions!$B$6))^(Assumptions!$B$4/12))*I27,K27)</f>
        <v/>
      </c>
    </row>
    <row r="28">
      <c r="A28" s="9" t="inlineStr">
        <is>
          <t>DF-100213</t>
        </is>
      </c>
      <c r="B28" s="9" t="inlineStr">
        <is>
          <t>Engineering</t>
        </is>
      </c>
      <c r="C28" s="9" t="inlineStr">
        <is>
          <t>L3 - Senior</t>
        </is>
      </c>
      <c r="D28" s="10" t="n">
        <v>83614</v>
      </c>
      <c r="E28" s="11" t="n">
        <v>65.3</v>
      </c>
      <c r="F28" s="12">
        <f>E28/100</f>
        <v/>
      </c>
      <c r="G28" s="9" t="inlineStr">
        <is>
          <t>Yes</t>
        </is>
      </c>
      <c r="H28" s="13">
        <f>VLOOKUP(C28,Assumptions!$A$10:$B$15,2,FALSE)</f>
        <v/>
      </c>
      <c r="I28" s="14">
        <f>D28*H28</f>
        <v/>
      </c>
      <c r="J28" s="12">
        <f>1-(1-F28)^(Assumptions!$B$4/12)</f>
        <v/>
      </c>
      <c r="K28" s="14">
        <f>J28*I28</f>
        <v/>
      </c>
      <c r="L28" s="14">
        <f>IF(G28="Yes",(1-(1-F28*(1-Assumptions!$B$6))^(Assumptions!$B$4/12))*I28,K28)</f>
        <v/>
      </c>
    </row>
    <row r="29">
      <c r="A29" s="9" t="inlineStr">
        <is>
          <t>DF-100658</t>
        </is>
      </c>
      <c r="B29" s="9" t="inlineStr">
        <is>
          <t>People/HR</t>
        </is>
      </c>
      <c r="C29" s="9" t="inlineStr">
        <is>
          <t>L4 - Lead</t>
        </is>
      </c>
      <c r="D29" s="10" t="n">
        <v>99704</v>
      </c>
      <c r="E29" s="11" t="n">
        <v>65</v>
      </c>
      <c r="F29" s="12">
        <f>E29/100</f>
        <v/>
      </c>
      <c r="G29" s="9" t="inlineStr">
        <is>
          <t>Yes</t>
        </is>
      </c>
      <c r="H29" s="13">
        <f>VLOOKUP(C29,Assumptions!$A$10:$B$15,2,FALSE)</f>
        <v/>
      </c>
      <c r="I29" s="14">
        <f>D29*H29</f>
        <v/>
      </c>
      <c r="J29" s="12">
        <f>1-(1-F29)^(Assumptions!$B$4/12)</f>
        <v/>
      </c>
      <c r="K29" s="14">
        <f>J29*I29</f>
        <v/>
      </c>
      <c r="L29" s="14">
        <f>IF(G29="Yes",(1-(1-F29*(1-Assumptions!$B$6))^(Assumptions!$B$4/12))*I29,K29)</f>
        <v/>
      </c>
    </row>
    <row r="30">
      <c r="A30" s="9" t="inlineStr">
        <is>
          <t>DF-100001</t>
        </is>
      </c>
      <c r="B30" s="9" t="inlineStr">
        <is>
          <t>Operations</t>
        </is>
      </c>
      <c r="C30" s="9" t="inlineStr">
        <is>
          <t>L3 - Senior</t>
        </is>
      </c>
      <c r="D30" s="10" t="n">
        <v>83969</v>
      </c>
      <c r="E30" s="11" t="n">
        <v>65</v>
      </c>
      <c r="F30" s="12">
        <f>E30/100</f>
        <v/>
      </c>
      <c r="G30" s="9" t="inlineStr">
        <is>
          <t>Yes</t>
        </is>
      </c>
      <c r="H30" s="13">
        <f>VLOOKUP(C30,Assumptions!$A$10:$B$15,2,FALSE)</f>
        <v/>
      </c>
      <c r="I30" s="14">
        <f>D30*H30</f>
        <v/>
      </c>
      <c r="J30" s="12">
        <f>1-(1-F30)^(Assumptions!$B$4/12)</f>
        <v/>
      </c>
      <c r="K30" s="14">
        <f>J30*I30</f>
        <v/>
      </c>
      <c r="L30" s="14">
        <f>IF(G30="Yes",(1-(1-F30*(1-Assumptions!$B$6))^(Assumptions!$B$4/12))*I30,K30)</f>
        <v/>
      </c>
    </row>
    <row r="31">
      <c r="A31" s="9" t="inlineStr">
        <is>
          <t>DF-100148</t>
        </is>
      </c>
      <c r="B31" s="9" t="inlineStr">
        <is>
          <t>Data &amp; Analytics</t>
        </is>
      </c>
      <c r="C31" s="9" t="inlineStr">
        <is>
          <t>L1 - Junior</t>
        </is>
      </c>
      <c r="D31" s="10" t="n">
        <v>41517</v>
      </c>
      <c r="E31" s="11" t="n">
        <v>65</v>
      </c>
      <c r="F31" s="12">
        <f>E31/100</f>
        <v/>
      </c>
      <c r="G31" s="9" t="inlineStr">
        <is>
          <t>Yes</t>
        </is>
      </c>
      <c r="H31" s="13">
        <f>VLOOKUP(C31,Assumptions!$A$10:$B$15,2,FALSE)</f>
        <v/>
      </c>
      <c r="I31" s="14">
        <f>D31*H31</f>
        <v/>
      </c>
      <c r="J31" s="12">
        <f>1-(1-F31)^(Assumptions!$B$4/12)</f>
        <v/>
      </c>
      <c r="K31" s="14">
        <f>J31*I31</f>
        <v/>
      </c>
      <c r="L31" s="14">
        <f>IF(G31="Yes",(1-(1-F31*(1-Assumptions!$B$6))^(Assumptions!$B$4/12))*I31,K31)</f>
        <v/>
      </c>
    </row>
    <row r="32">
      <c r="A32" s="9" t="inlineStr">
        <is>
          <t>DF-100177</t>
        </is>
      </c>
      <c r="B32" s="9" t="inlineStr">
        <is>
          <t>Operations</t>
        </is>
      </c>
      <c r="C32" s="9" t="inlineStr">
        <is>
          <t>L1 - Junior</t>
        </is>
      </c>
      <c r="D32" s="10" t="n">
        <v>40583</v>
      </c>
      <c r="E32" s="11" t="n">
        <v>64.90000000000001</v>
      </c>
      <c r="F32" s="12">
        <f>E32/100</f>
        <v/>
      </c>
      <c r="G32" s="9" t="inlineStr">
        <is>
          <t>Yes</t>
        </is>
      </c>
      <c r="H32" s="13">
        <f>VLOOKUP(C32,Assumptions!$A$10:$B$15,2,FALSE)</f>
        <v/>
      </c>
      <c r="I32" s="14">
        <f>D32*H32</f>
        <v/>
      </c>
      <c r="J32" s="12">
        <f>1-(1-F32)^(Assumptions!$B$4/12)</f>
        <v/>
      </c>
      <c r="K32" s="14">
        <f>J32*I32</f>
        <v/>
      </c>
      <c r="L32" s="14">
        <f>IF(G32="Yes",(1-(1-F32*(1-Assumptions!$B$6))^(Assumptions!$B$4/12))*I32,K32)</f>
        <v/>
      </c>
    </row>
    <row r="33">
      <c r="A33" s="9" t="inlineStr">
        <is>
          <t>DF-100225</t>
        </is>
      </c>
      <c r="B33" s="9" t="inlineStr">
        <is>
          <t>Support</t>
        </is>
      </c>
      <c r="C33" s="9" t="inlineStr">
        <is>
          <t>L3 - Senior</t>
        </is>
      </c>
      <c r="D33" s="10" t="n">
        <v>69801</v>
      </c>
      <c r="E33" s="11" t="n">
        <v>64.7</v>
      </c>
      <c r="F33" s="12">
        <f>E33/100</f>
        <v/>
      </c>
      <c r="G33" s="9" t="inlineStr">
        <is>
          <t>Yes</t>
        </is>
      </c>
      <c r="H33" s="13">
        <f>VLOOKUP(C33,Assumptions!$A$10:$B$15,2,FALSE)</f>
        <v/>
      </c>
      <c r="I33" s="14">
        <f>D33*H33</f>
        <v/>
      </c>
      <c r="J33" s="12">
        <f>1-(1-F33)^(Assumptions!$B$4/12)</f>
        <v/>
      </c>
      <c r="K33" s="14">
        <f>J33*I33</f>
        <v/>
      </c>
      <c r="L33" s="14">
        <f>IF(G33="Yes",(1-(1-F33*(1-Assumptions!$B$6))^(Assumptions!$B$4/12))*I33,K33)</f>
        <v/>
      </c>
    </row>
    <row r="34">
      <c r="A34" s="9" t="inlineStr">
        <is>
          <t>DF-100223</t>
        </is>
      </c>
      <c r="B34" s="9" t="inlineStr">
        <is>
          <t>Support</t>
        </is>
      </c>
      <c r="C34" s="9" t="inlineStr">
        <is>
          <t>L2 - Mid</t>
        </is>
      </c>
      <c r="D34" s="10" t="n">
        <v>40867</v>
      </c>
      <c r="E34" s="11" t="n">
        <v>64.59999999999999</v>
      </c>
      <c r="F34" s="12">
        <f>E34/100</f>
        <v/>
      </c>
      <c r="G34" s="9" t="inlineStr">
        <is>
          <t>Yes</t>
        </is>
      </c>
      <c r="H34" s="13">
        <f>VLOOKUP(C34,Assumptions!$A$10:$B$15,2,FALSE)</f>
        <v/>
      </c>
      <c r="I34" s="14">
        <f>D34*H34</f>
        <v/>
      </c>
      <c r="J34" s="12">
        <f>1-(1-F34)^(Assumptions!$B$4/12)</f>
        <v/>
      </c>
      <c r="K34" s="14">
        <f>J34*I34</f>
        <v/>
      </c>
      <c r="L34" s="14">
        <f>IF(G34="Yes",(1-(1-F34*(1-Assumptions!$B$6))^(Assumptions!$B$4/12))*I34,K34)</f>
        <v/>
      </c>
    </row>
    <row r="35">
      <c r="A35" s="9" t="inlineStr">
        <is>
          <t>DF-100461</t>
        </is>
      </c>
      <c r="B35" s="9" t="inlineStr">
        <is>
          <t>Product</t>
        </is>
      </c>
      <c r="C35" s="9" t="inlineStr">
        <is>
          <t>L2 - Mid</t>
        </is>
      </c>
      <c r="D35" s="10" t="n">
        <v>60092</v>
      </c>
      <c r="E35" s="11" t="n">
        <v>64.40000000000001</v>
      </c>
      <c r="F35" s="12">
        <f>E35/100</f>
        <v/>
      </c>
      <c r="G35" s="9" t="inlineStr">
        <is>
          <t>Yes</t>
        </is>
      </c>
      <c r="H35" s="13">
        <f>VLOOKUP(C35,Assumptions!$A$10:$B$15,2,FALSE)</f>
        <v/>
      </c>
      <c r="I35" s="14">
        <f>D35*H35</f>
        <v/>
      </c>
      <c r="J35" s="12">
        <f>1-(1-F35)^(Assumptions!$B$4/12)</f>
        <v/>
      </c>
      <c r="K35" s="14">
        <f>J35*I35</f>
        <v/>
      </c>
      <c r="L35" s="14">
        <f>IF(G35="Yes",(1-(1-F35*(1-Assumptions!$B$6))^(Assumptions!$B$4/12))*I35,K35)</f>
        <v/>
      </c>
    </row>
    <row r="36">
      <c r="A36" s="9" t="inlineStr">
        <is>
          <t>DF-100098</t>
        </is>
      </c>
      <c r="B36" s="9" t="inlineStr">
        <is>
          <t>Finance</t>
        </is>
      </c>
      <c r="C36" s="9" t="inlineStr">
        <is>
          <t>L1 - Junior</t>
        </is>
      </c>
      <c r="D36" s="10" t="n">
        <v>42195</v>
      </c>
      <c r="E36" s="11" t="n">
        <v>63.8</v>
      </c>
      <c r="F36" s="12">
        <f>E36/100</f>
        <v/>
      </c>
      <c r="G36" s="9" t="inlineStr">
        <is>
          <t>Yes</t>
        </is>
      </c>
      <c r="H36" s="13">
        <f>VLOOKUP(C36,Assumptions!$A$10:$B$15,2,FALSE)</f>
        <v/>
      </c>
      <c r="I36" s="14">
        <f>D36*H36</f>
        <v/>
      </c>
      <c r="J36" s="12">
        <f>1-(1-F36)^(Assumptions!$B$4/12)</f>
        <v/>
      </c>
      <c r="K36" s="14">
        <f>J36*I36</f>
        <v/>
      </c>
      <c r="L36" s="14">
        <f>IF(G36="Yes",(1-(1-F36*(1-Assumptions!$B$6))^(Assumptions!$B$4/12))*I36,K36)</f>
        <v/>
      </c>
    </row>
    <row r="37">
      <c r="A37" s="9" t="inlineStr">
        <is>
          <t>DF-100529</t>
        </is>
      </c>
      <c r="B37" s="9" t="inlineStr">
        <is>
          <t>Customer Success</t>
        </is>
      </c>
      <c r="C37" s="9" t="inlineStr">
        <is>
          <t>L1 - Junior</t>
        </is>
      </c>
      <c r="D37" s="10" t="n">
        <v>40177</v>
      </c>
      <c r="E37" s="11" t="n">
        <v>63.7</v>
      </c>
      <c r="F37" s="12">
        <f>E37/100</f>
        <v/>
      </c>
      <c r="G37" s="9" t="inlineStr">
        <is>
          <t>Yes</t>
        </is>
      </c>
      <c r="H37" s="13">
        <f>VLOOKUP(C37,Assumptions!$A$10:$B$15,2,FALSE)</f>
        <v/>
      </c>
      <c r="I37" s="14">
        <f>D37*H37</f>
        <v/>
      </c>
      <c r="J37" s="12">
        <f>1-(1-F37)^(Assumptions!$B$4/12)</f>
        <v/>
      </c>
      <c r="K37" s="14">
        <f>J37*I37</f>
        <v/>
      </c>
      <c r="L37" s="14">
        <f>IF(G37="Yes",(1-(1-F37*(1-Assumptions!$B$6))^(Assumptions!$B$4/12))*I37,K37)</f>
        <v/>
      </c>
    </row>
    <row r="38">
      <c r="A38" s="9" t="inlineStr">
        <is>
          <t>DF-100127</t>
        </is>
      </c>
      <c r="B38" s="9" t="inlineStr">
        <is>
          <t>Finance</t>
        </is>
      </c>
      <c r="C38" s="9" t="inlineStr">
        <is>
          <t>L2 - Mid</t>
        </is>
      </c>
      <c r="D38" s="10" t="n">
        <v>52672</v>
      </c>
      <c r="E38" s="11" t="n">
        <v>63.7</v>
      </c>
      <c r="F38" s="12">
        <f>E38/100</f>
        <v/>
      </c>
      <c r="G38" s="9" t="inlineStr">
        <is>
          <t>Yes</t>
        </is>
      </c>
      <c r="H38" s="13">
        <f>VLOOKUP(C38,Assumptions!$A$10:$B$15,2,FALSE)</f>
        <v/>
      </c>
      <c r="I38" s="14">
        <f>D38*H38</f>
        <v/>
      </c>
      <c r="J38" s="12">
        <f>1-(1-F38)^(Assumptions!$B$4/12)</f>
        <v/>
      </c>
      <c r="K38" s="14">
        <f>J38*I38</f>
        <v/>
      </c>
      <c r="L38" s="14">
        <f>IF(G38="Yes",(1-(1-F38*(1-Assumptions!$B$6))^(Assumptions!$B$4/12))*I38,K38)</f>
        <v/>
      </c>
    </row>
    <row r="39">
      <c r="A39" s="9" t="inlineStr">
        <is>
          <t>DF-100326</t>
        </is>
      </c>
      <c r="B39" s="9" t="inlineStr">
        <is>
          <t>Product</t>
        </is>
      </c>
      <c r="C39" s="9" t="inlineStr">
        <is>
          <t>L2 - Mid</t>
        </is>
      </c>
      <c r="D39" s="10" t="n">
        <v>52606</v>
      </c>
      <c r="E39" s="11" t="n">
        <v>63.4</v>
      </c>
      <c r="F39" s="12">
        <f>E39/100</f>
        <v/>
      </c>
      <c r="G39" s="9" t="inlineStr">
        <is>
          <t>Yes</t>
        </is>
      </c>
      <c r="H39" s="13">
        <f>VLOOKUP(C39,Assumptions!$A$10:$B$15,2,FALSE)</f>
        <v/>
      </c>
      <c r="I39" s="14">
        <f>D39*H39</f>
        <v/>
      </c>
      <c r="J39" s="12">
        <f>1-(1-F39)^(Assumptions!$B$4/12)</f>
        <v/>
      </c>
      <c r="K39" s="14">
        <f>J39*I39</f>
        <v/>
      </c>
      <c r="L39" s="14">
        <f>IF(G39="Yes",(1-(1-F39*(1-Assumptions!$B$6))^(Assumptions!$B$4/12))*I39,K39)</f>
        <v/>
      </c>
    </row>
    <row r="40">
      <c r="A40" s="9" t="inlineStr">
        <is>
          <t>DF-100204</t>
        </is>
      </c>
      <c r="B40" s="9" t="inlineStr">
        <is>
          <t>Sales</t>
        </is>
      </c>
      <c r="C40" s="9" t="inlineStr">
        <is>
          <t>L1 - Junior</t>
        </is>
      </c>
      <c r="D40" s="10" t="n">
        <v>49658</v>
      </c>
      <c r="E40" s="11" t="n">
        <v>63</v>
      </c>
      <c r="F40" s="12">
        <f>E40/100</f>
        <v/>
      </c>
      <c r="G40" s="9" t="inlineStr">
        <is>
          <t>Yes</t>
        </is>
      </c>
      <c r="H40" s="13">
        <f>VLOOKUP(C40,Assumptions!$A$10:$B$15,2,FALSE)</f>
        <v/>
      </c>
      <c r="I40" s="14">
        <f>D40*H40</f>
        <v/>
      </c>
      <c r="J40" s="12">
        <f>1-(1-F40)^(Assumptions!$B$4/12)</f>
        <v/>
      </c>
      <c r="K40" s="14">
        <f>J40*I40</f>
        <v/>
      </c>
      <c r="L40" s="14">
        <f>IF(G40="Yes",(1-(1-F40*(1-Assumptions!$B$6))^(Assumptions!$B$4/12))*I40,K40)</f>
        <v/>
      </c>
    </row>
    <row r="41">
      <c r="A41" s="9" t="inlineStr">
        <is>
          <t>DF-100475</t>
        </is>
      </c>
      <c r="B41" s="9" t="inlineStr">
        <is>
          <t>Sales</t>
        </is>
      </c>
      <c r="C41" s="9" t="inlineStr">
        <is>
          <t>L2 - Mid</t>
        </is>
      </c>
      <c r="D41" s="10" t="n">
        <v>67322</v>
      </c>
      <c r="E41" s="11" t="n">
        <v>62.6</v>
      </c>
      <c r="F41" s="12">
        <f>E41/100</f>
        <v/>
      </c>
      <c r="G41" s="9" t="inlineStr">
        <is>
          <t>Yes</t>
        </is>
      </c>
      <c r="H41" s="13">
        <f>VLOOKUP(C41,Assumptions!$A$10:$B$15,2,FALSE)</f>
        <v/>
      </c>
      <c r="I41" s="14">
        <f>D41*H41</f>
        <v/>
      </c>
      <c r="J41" s="12">
        <f>1-(1-F41)^(Assumptions!$B$4/12)</f>
        <v/>
      </c>
      <c r="K41" s="14">
        <f>J41*I41</f>
        <v/>
      </c>
      <c r="L41" s="14">
        <f>IF(G41="Yes",(1-(1-F41*(1-Assumptions!$B$6))^(Assumptions!$B$4/12))*I41,K41)</f>
        <v/>
      </c>
    </row>
    <row r="42">
      <c r="A42" s="9" t="inlineStr">
        <is>
          <t>DF-100648</t>
        </is>
      </c>
      <c r="B42" s="9" t="inlineStr">
        <is>
          <t>People/HR</t>
        </is>
      </c>
      <c r="C42" s="9" t="inlineStr">
        <is>
          <t>L3 - Senior</t>
        </is>
      </c>
      <c r="D42" s="10" t="n">
        <v>71563</v>
      </c>
      <c r="E42" s="11" t="n">
        <v>61.3</v>
      </c>
      <c r="F42" s="12">
        <f>E42/100</f>
        <v/>
      </c>
      <c r="G42" s="9" t="inlineStr">
        <is>
          <t>Yes</t>
        </is>
      </c>
      <c r="H42" s="13">
        <f>VLOOKUP(C42,Assumptions!$A$10:$B$15,2,FALSE)</f>
        <v/>
      </c>
      <c r="I42" s="14">
        <f>D42*H42</f>
        <v/>
      </c>
      <c r="J42" s="12">
        <f>1-(1-F42)^(Assumptions!$B$4/12)</f>
        <v/>
      </c>
      <c r="K42" s="14">
        <f>J42*I42</f>
        <v/>
      </c>
      <c r="L42" s="14">
        <f>IF(G42="Yes",(1-(1-F42*(1-Assumptions!$B$6))^(Assumptions!$B$4/12))*I42,K42)</f>
        <v/>
      </c>
    </row>
    <row r="43">
      <c r="A43" s="9" t="inlineStr">
        <is>
          <t>DF-100081</t>
        </is>
      </c>
      <c r="B43" s="9" t="inlineStr">
        <is>
          <t>Engineering</t>
        </is>
      </c>
      <c r="C43" s="9" t="inlineStr">
        <is>
          <t>L1 - Junior</t>
        </is>
      </c>
      <c r="D43" s="10" t="n">
        <v>48776</v>
      </c>
      <c r="E43" s="11" t="n">
        <v>61</v>
      </c>
      <c r="F43" s="12">
        <f>E43/100</f>
        <v/>
      </c>
      <c r="G43" s="9" t="inlineStr">
        <is>
          <t>Yes</t>
        </is>
      </c>
      <c r="H43" s="13">
        <f>VLOOKUP(C43,Assumptions!$A$10:$B$15,2,FALSE)</f>
        <v/>
      </c>
      <c r="I43" s="14">
        <f>D43*H43</f>
        <v/>
      </c>
      <c r="J43" s="12">
        <f>1-(1-F43)^(Assumptions!$B$4/12)</f>
        <v/>
      </c>
      <c r="K43" s="14">
        <f>J43*I43</f>
        <v/>
      </c>
      <c r="L43" s="14">
        <f>IF(G43="Yes",(1-(1-F43*(1-Assumptions!$B$6))^(Assumptions!$B$4/12))*I43,K43)</f>
        <v/>
      </c>
    </row>
    <row r="44">
      <c r="A44" s="9" t="inlineStr">
        <is>
          <t>DF-100603</t>
        </is>
      </c>
      <c r="B44" s="9" t="inlineStr">
        <is>
          <t>Marketing</t>
        </is>
      </c>
      <c r="C44" s="9" t="inlineStr">
        <is>
          <t>L1 - Junior</t>
        </is>
      </c>
      <c r="D44" s="10" t="n">
        <v>43794</v>
      </c>
      <c r="E44" s="11" t="n">
        <v>60.2</v>
      </c>
      <c r="F44" s="12">
        <f>E44/100</f>
        <v/>
      </c>
      <c r="G44" s="9" t="inlineStr">
        <is>
          <t>Yes</t>
        </is>
      </c>
      <c r="H44" s="13">
        <f>VLOOKUP(C44,Assumptions!$A$10:$B$15,2,FALSE)</f>
        <v/>
      </c>
      <c r="I44" s="14">
        <f>D44*H44</f>
        <v/>
      </c>
      <c r="J44" s="12">
        <f>1-(1-F44)^(Assumptions!$B$4/12)</f>
        <v/>
      </c>
      <c r="K44" s="14">
        <f>J44*I44</f>
        <v/>
      </c>
      <c r="L44" s="14">
        <f>IF(G44="Yes",(1-(1-F44*(1-Assumptions!$B$6))^(Assumptions!$B$4/12))*I44,K44)</f>
        <v/>
      </c>
    </row>
    <row r="45">
      <c r="A45" s="9" t="inlineStr">
        <is>
          <t>DF-100439</t>
        </is>
      </c>
      <c r="B45" s="9" t="inlineStr">
        <is>
          <t>Sales</t>
        </is>
      </c>
      <c r="C45" s="9" t="inlineStr">
        <is>
          <t>L2 - Mid</t>
        </is>
      </c>
      <c r="D45" s="10" t="n">
        <v>76946</v>
      </c>
      <c r="E45" s="11" t="n">
        <v>60</v>
      </c>
      <c r="F45" s="12">
        <f>E45/100</f>
        <v/>
      </c>
      <c r="G45" s="9" t="inlineStr">
        <is>
          <t>Yes</t>
        </is>
      </c>
      <c r="H45" s="13">
        <f>VLOOKUP(C45,Assumptions!$A$10:$B$15,2,FALSE)</f>
        <v/>
      </c>
      <c r="I45" s="14">
        <f>D45*H45</f>
        <v/>
      </c>
      <c r="J45" s="12">
        <f>1-(1-F45)^(Assumptions!$B$4/12)</f>
        <v/>
      </c>
      <c r="K45" s="14">
        <f>J45*I45</f>
        <v/>
      </c>
      <c r="L45" s="14">
        <f>IF(G45="Yes",(1-(1-F45*(1-Assumptions!$B$6))^(Assumptions!$B$4/12))*I45,K45)</f>
        <v/>
      </c>
    </row>
    <row r="46">
      <c r="A46" s="9" t="inlineStr">
        <is>
          <t>DF-100572</t>
        </is>
      </c>
      <c r="B46" s="9" t="inlineStr">
        <is>
          <t>Customer Success</t>
        </is>
      </c>
      <c r="C46" s="9" t="inlineStr">
        <is>
          <t>L1 - Junior</t>
        </is>
      </c>
      <c r="D46" s="10" t="n">
        <v>41016</v>
      </c>
      <c r="E46" s="11" t="n">
        <v>60</v>
      </c>
      <c r="F46" s="12">
        <f>E46/100</f>
        <v/>
      </c>
      <c r="G46" s="9" t="inlineStr">
        <is>
          <t>Yes</t>
        </is>
      </c>
      <c r="H46" s="13">
        <f>VLOOKUP(C46,Assumptions!$A$10:$B$15,2,FALSE)</f>
        <v/>
      </c>
      <c r="I46" s="14">
        <f>D46*H46</f>
        <v/>
      </c>
      <c r="J46" s="12">
        <f>1-(1-F46)^(Assumptions!$B$4/12)</f>
        <v/>
      </c>
      <c r="K46" s="14">
        <f>J46*I46</f>
        <v/>
      </c>
      <c r="L46" s="14">
        <f>IF(G46="Yes",(1-(1-F46*(1-Assumptions!$B$6))^(Assumptions!$B$4/12))*I46,K46)</f>
        <v/>
      </c>
    </row>
    <row r="47">
      <c r="A47" s="9" t="inlineStr">
        <is>
          <t>DF-100349</t>
        </is>
      </c>
      <c r="B47" s="9" t="inlineStr">
        <is>
          <t>Customer Success</t>
        </is>
      </c>
      <c r="C47" s="9" t="inlineStr">
        <is>
          <t>L4 - Lead</t>
        </is>
      </c>
      <c r="D47" s="10" t="n">
        <v>102437</v>
      </c>
      <c r="E47" s="11" t="n">
        <v>59.8</v>
      </c>
      <c r="F47" s="12">
        <f>E47/100</f>
        <v/>
      </c>
      <c r="G47" s="9" t="inlineStr">
        <is>
          <t>Yes</t>
        </is>
      </c>
      <c r="H47" s="13">
        <f>VLOOKUP(C47,Assumptions!$A$10:$B$15,2,FALSE)</f>
        <v/>
      </c>
      <c r="I47" s="14">
        <f>D47*H47</f>
        <v/>
      </c>
      <c r="J47" s="12">
        <f>1-(1-F47)^(Assumptions!$B$4/12)</f>
        <v/>
      </c>
      <c r="K47" s="14">
        <f>J47*I47</f>
        <v/>
      </c>
      <c r="L47" s="14">
        <f>IF(G47="Yes",(1-(1-F47*(1-Assumptions!$B$6))^(Assumptions!$B$4/12))*I47,K47)</f>
        <v/>
      </c>
    </row>
    <row r="48">
      <c r="A48" s="9" t="inlineStr">
        <is>
          <t>DF-100330</t>
        </is>
      </c>
      <c r="B48" s="9" t="inlineStr">
        <is>
          <t>People/HR</t>
        </is>
      </c>
      <c r="C48" s="9" t="inlineStr">
        <is>
          <t>L1 - Junior</t>
        </is>
      </c>
      <c r="D48" s="10" t="n">
        <v>40335</v>
      </c>
      <c r="E48" s="11" t="n">
        <v>59.7</v>
      </c>
      <c r="F48" s="12">
        <f>E48/100</f>
        <v/>
      </c>
      <c r="G48" s="9" t="inlineStr">
        <is>
          <t>Yes</t>
        </is>
      </c>
      <c r="H48" s="13">
        <f>VLOOKUP(C48,Assumptions!$A$10:$B$15,2,FALSE)</f>
        <v/>
      </c>
      <c r="I48" s="14">
        <f>D48*H48</f>
        <v/>
      </c>
      <c r="J48" s="12">
        <f>1-(1-F48)^(Assumptions!$B$4/12)</f>
        <v/>
      </c>
      <c r="K48" s="14">
        <f>J48*I48</f>
        <v/>
      </c>
      <c r="L48" s="14">
        <f>IF(G48="Yes",(1-(1-F48*(1-Assumptions!$B$6))^(Assumptions!$B$4/12))*I48,K48)</f>
        <v/>
      </c>
    </row>
    <row r="49">
      <c r="A49" s="9" t="inlineStr">
        <is>
          <t>DF-100504</t>
        </is>
      </c>
      <c r="B49" s="9" t="inlineStr">
        <is>
          <t>Finance</t>
        </is>
      </c>
      <c r="C49" s="9" t="inlineStr">
        <is>
          <t>L3 - Senior</t>
        </is>
      </c>
      <c r="D49" s="10" t="n">
        <v>79958</v>
      </c>
      <c r="E49" s="11" t="n">
        <v>59.6</v>
      </c>
      <c r="F49" s="12">
        <f>E49/100</f>
        <v/>
      </c>
      <c r="G49" s="9" t="inlineStr">
        <is>
          <t>Yes</t>
        </is>
      </c>
      <c r="H49" s="13">
        <f>VLOOKUP(C49,Assumptions!$A$10:$B$15,2,FALSE)</f>
        <v/>
      </c>
      <c r="I49" s="14">
        <f>D49*H49</f>
        <v/>
      </c>
      <c r="J49" s="12">
        <f>1-(1-F49)^(Assumptions!$B$4/12)</f>
        <v/>
      </c>
      <c r="K49" s="14">
        <f>J49*I49</f>
        <v/>
      </c>
      <c r="L49" s="14">
        <f>IF(G49="Yes",(1-(1-F49*(1-Assumptions!$B$6))^(Assumptions!$B$4/12))*I49,K49)</f>
        <v/>
      </c>
    </row>
    <row r="50">
      <c r="A50" s="9" t="inlineStr">
        <is>
          <t>DF-100466</t>
        </is>
      </c>
      <c r="B50" s="9" t="inlineStr">
        <is>
          <t>Sales</t>
        </is>
      </c>
      <c r="C50" s="9" t="inlineStr">
        <is>
          <t>L1 - Junior</t>
        </is>
      </c>
      <c r="D50" s="10" t="n">
        <v>48786</v>
      </c>
      <c r="E50" s="11" t="n">
        <v>59.6</v>
      </c>
      <c r="F50" s="12">
        <f>E50/100</f>
        <v/>
      </c>
      <c r="G50" s="9" t="inlineStr">
        <is>
          <t>Yes</t>
        </is>
      </c>
      <c r="H50" s="13">
        <f>VLOOKUP(C50,Assumptions!$A$10:$B$15,2,FALSE)</f>
        <v/>
      </c>
      <c r="I50" s="14">
        <f>D50*H50</f>
        <v/>
      </c>
      <c r="J50" s="12">
        <f>1-(1-F50)^(Assumptions!$B$4/12)</f>
        <v/>
      </c>
      <c r="K50" s="14">
        <f>J50*I50</f>
        <v/>
      </c>
      <c r="L50" s="14">
        <f>IF(G50="Yes",(1-(1-F50*(1-Assumptions!$B$6))^(Assumptions!$B$4/12))*I50,K50)</f>
        <v/>
      </c>
    </row>
    <row r="51">
      <c r="A51" s="9" t="inlineStr">
        <is>
          <t>DF-100154</t>
        </is>
      </c>
      <c r="B51" s="9" t="inlineStr">
        <is>
          <t>Marketing</t>
        </is>
      </c>
      <c r="C51" s="9" t="inlineStr">
        <is>
          <t>L4 - Lead</t>
        </is>
      </c>
      <c r="D51" s="10" t="n">
        <v>107348</v>
      </c>
      <c r="E51" s="11" t="n">
        <v>59.6</v>
      </c>
      <c r="F51" s="12">
        <f>E51/100</f>
        <v/>
      </c>
      <c r="G51" s="9" t="inlineStr">
        <is>
          <t>Yes</t>
        </is>
      </c>
      <c r="H51" s="13">
        <f>VLOOKUP(C51,Assumptions!$A$10:$B$15,2,FALSE)</f>
        <v/>
      </c>
      <c r="I51" s="14">
        <f>D51*H51</f>
        <v/>
      </c>
      <c r="J51" s="12">
        <f>1-(1-F51)^(Assumptions!$B$4/12)</f>
        <v/>
      </c>
      <c r="K51" s="14">
        <f>J51*I51</f>
        <v/>
      </c>
      <c r="L51" s="14">
        <f>IF(G51="Yes",(1-(1-F51*(1-Assumptions!$B$6))^(Assumptions!$B$4/12))*I51,K51)</f>
        <v/>
      </c>
    </row>
    <row r="52">
      <c r="A52" s="9" t="inlineStr">
        <is>
          <t>DF-100485</t>
        </is>
      </c>
      <c r="B52" s="9" t="inlineStr">
        <is>
          <t>Support</t>
        </is>
      </c>
      <c r="C52" s="9" t="inlineStr">
        <is>
          <t>L2 - Mid</t>
        </is>
      </c>
      <c r="D52" s="10" t="n">
        <v>50256</v>
      </c>
      <c r="E52" s="11" t="n">
        <v>59.4</v>
      </c>
      <c r="F52" s="12">
        <f>E52/100</f>
        <v/>
      </c>
      <c r="G52" s="9" t="inlineStr">
        <is>
          <t>Yes</t>
        </is>
      </c>
      <c r="H52" s="13">
        <f>VLOOKUP(C52,Assumptions!$A$10:$B$15,2,FALSE)</f>
        <v/>
      </c>
      <c r="I52" s="14">
        <f>D52*H52</f>
        <v/>
      </c>
      <c r="J52" s="12">
        <f>1-(1-F52)^(Assumptions!$B$4/12)</f>
        <v/>
      </c>
      <c r="K52" s="14">
        <f>J52*I52</f>
        <v/>
      </c>
      <c r="L52" s="14">
        <f>IF(G52="Yes",(1-(1-F52*(1-Assumptions!$B$6))^(Assumptions!$B$4/12))*I52,K52)</f>
        <v/>
      </c>
    </row>
    <row r="53">
      <c r="A53" s="9" t="inlineStr">
        <is>
          <t>DF-100503</t>
        </is>
      </c>
      <c r="B53" s="9" t="inlineStr">
        <is>
          <t>Sales</t>
        </is>
      </c>
      <c r="C53" s="9" t="inlineStr">
        <is>
          <t>L1 - Junior</t>
        </is>
      </c>
      <c r="D53" s="10" t="n">
        <v>44006</v>
      </c>
      <c r="E53" s="11" t="n">
        <v>59.2</v>
      </c>
      <c r="F53" s="12">
        <f>E53/100</f>
        <v/>
      </c>
      <c r="G53" s="9" t="inlineStr">
        <is>
          <t>Yes</t>
        </is>
      </c>
      <c r="H53" s="13">
        <f>VLOOKUP(C53,Assumptions!$A$10:$B$15,2,FALSE)</f>
        <v/>
      </c>
      <c r="I53" s="14">
        <f>D53*H53</f>
        <v/>
      </c>
      <c r="J53" s="12">
        <f>1-(1-F53)^(Assumptions!$B$4/12)</f>
        <v/>
      </c>
      <c r="K53" s="14">
        <f>J53*I53</f>
        <v/>
      </c>
      <c r="L53" s="14">
        <f>IF(G53="Yes",(1-(1-F53*(1-Assumptions!$B$6))^(Assumptions!$B$4/12))*I53,K53)</f>
        <v/>
      </c>
    </row>
    <row r="54">
      <c r="A54" s="9" t="inlineStr">
        <is>
          <t>DF-100315</t>
        </is>
      </c>
      <c r="B54" s="9" t="inlineStr">
        <is>
          <t>Product</t>
        </is>
      </c>
      <c r="C54" s="9" t="inlineStr">
        <is>
          <t>L3 - Senior</t>
        </is>
      </c>
      <c r="D54" s="10" t="n">
        <v>114330</v>
      </c>
      <c r="E54" s="11" t="n">
        <v>59</v>
      </c>
      <c r="F54" s="12">
        <f>E54/100</f>
        <v/>
      </c>
      <c r="G54" s="9" t="inlineStr">
        <is>
          <t>Yes</t>
        </is>
      </c>
      <c r="H54" s="13">
        <f>VLOOKUP(C54,Assumptions!$A$10:$B$15,2,FALSE)</f>
        <v/>
      </c>
      <c r="I54" s="14">
        <f>D54*H54</f>
        <v/>
      </c>
      <c r="J54" s="12">
        <f>1-(1-F54)^(Assumptions!$B$4/12)</f>
        <v/>
      </c>
      <c r="K54" s="14">
        <f>J54*I54</f>
        <v/>
      </c>
      <c r="L54" s="14">
        <f>IF(G54="Yes",(1-(1-F54*(1-Assumptions!$B$6))^(Assumptions!$B$4/12))*I54,K54)</f>
        <v/>
      </c>
    </row>
    <row r="55">
      <c r="A55" s="9" t="inlineStr">
        <is>
          <t>DF-100444</t>
        </is>
      </c>
      <c r="B55" s="9" t="inlineStr">
        <is>
          <t>Support</t>
        </is>
      </c>
      <c r="C55" s="9" t="inlineStr">
        <is>
          <t>L2 - Mid</t>
        </is>
      </c>
      <c r="D55" s="10" t="n">
        <v>46968</v>
      </c>
      <c r="E55" s="11" t="n">
        <v>59</v>
      </c>
      <c r="F55" s="12">
        <f>E55/100</f>
        <v/>
      </c>
      <c r="G55" s="9" t="inlineStr">
        <is>
          <t>Yes</t>
        </is>
      </c>
      <c r="H55" s="13">
        <f>VLOOKUP(C55,Assumptions!$A$10:$B$15,2,FALSE)</f>
        <v/>
      </c>
      <c r="I55" s="14">
        <f>D55*H55</f>
        <v/>
      </c>
      <c r="J55" s="12">
        <f>1-(1-F55)^(Assumptions!$B$4/12)</f>
        <v/>
      </c>
      <c r="K55" s="14">
        <f>J55*I55</f>
        <v/>
      </c>
      <c r="L55" s="14">
        <f>IF(G55="Yes",(1-(1-F55*(1-Assumptions!$B$6))^(Assumptions!$B$4/12))*I55,K55)</f>
        <v/>
      </c>
    </row>
    <row r="56">
      <c r="A56" s="9" t="inlineStr">
        <is>
          <t>DF-100279</t>
        </is>
      </c>
      <c r="B56" s="9" t="inlineStr">
        <is>
          <t>Marketing</t>
        </is>
      </c>
      <c r="C56" s="9" t="inlineStr">
        <is>
          <t>L3 - Senior</t>
        </is>
      </c>
      <c r="D56" s="10" t="n">
        <v>93647</v>
      </c>
      <c r="E56" s="11" t="n">
        <v>58.8</v>
      </c>
      <c r="F56" s="12">
        <f>E56/100</f>
        <v/>
      </c>
      <c r="G56" s="9" t="inlineStr">
        <is>
          <t>Yes</t>
        </is>
      </c>
      <c r="H56" s="13">
        <f>VLOOKUP(C56,Assumptions!$A$10:$B$15,2,FALSE)</f>
        <v/>
      </c>
      <c r="I56" s="14">
        <f>D56*H56</f>
        <v/>
      </c>
      <c r="J56" s="12">
        <f>1-(1-F56)^(Assumptions!$B$4/12)</f>
        <v/>
      </c>
      <c r="K56" s="14">
        <f>J56*I56</f>
        <v/>
      </c>
      <c r="L56" s="14">
        <f>IF(G56="Yes",(1-(1-F56*(1-Assumptions!$B$6))^(Assumptions!$B$4/12))*I56,K56)</f>
        <v/>
      </c>
    </row>
    <row r="57">
      <c r="A57" s="9" t="inlineStr">
        <is>
          <t>DF-100415</t>
        </is>
      </c>
      <c r="B57" s="9" t="inlineStr">
        <is>
          <t>Operations</t>
        </is>
      </c>
      <c r="C57" s="9" t="inlineStr">
        <is>
          <t>L1 - Junior</t>
        </is>
      </c>
      <c r="D57" s="10" t="n">
        <v>37545</v>
      </c>
      <c r="E57" s="11" t="n">
        <v>58.5</v>
      </c>
      <c r="F57" s="12">
        <f>E57/100</f>
        <v/>
      </c>
      <c r="G57" s="9" t="inlineStr">
        <is>
          <t>Yes</t>
        </is>
      </c>
      <c r="H57" s="13">
        <f>VLOOKUP(C57,Assumptions!$A$10:$B$15,2,FALSE)</f>
        <v/>
      </c>
      <c r="I57" s="14">
        <f>D57*H57</f>
        <v/>
      </c>
      <c r="J57" s="12">
        <f>1-(1-F57)^(Assumptions!$B$4/12)</f>
        <v/>
      </c>
      <c r="K57" s="14">
        <f>J57*I57</f>
        <v/>
      </c>
      <c r="L57" s="14">
        <f>IF(G57="Yes",(1-(1-F57*(1-Assumptions!$B$6))^(Assumptions!$B$4/12))*I57,K57)</f>
        <v/>
      </c>
    </row>
    <row r="58">
      <c r="A58" s="9" t="inlineStr">
        <is>
          <t>DF-100136</t>
        </is>
      </c>
      <c r="B58" s="9" t="inlineStr">
        <is>
          <t>Product</t>
        </is>
      </c>
      <c r="C58" s="9" t="inlineStr">
        <is>
          <t>L2 - Mid</t>
        </is>
      </c>
      <c r="D58" s="10" t="n">
        <v>67093</v>
      </c>
      <c r="E58" s="11" t="n">
        <v>58.3</v>
      </c>
      <c r="F58" s="12">
        <f>E58/100</f>
        <v/>
      </c>
      <c r="G58" s="9" t="inlineStr">
        <is>
          <t>Yes</t>
        </is>
      </c>
      <c r="H58" s="13">
        <f>VLOOKUP(C58,Assumptions!$A$10:$B$15,2,FALSE)</f>
        <v/>
      </c>
      <c r="I58" s="14">
        <f>D58*H58</f>
        <v/>
      </c>
      <c r="J58" s="12">
        <f>1-(1-F58)^(Assumptions!$B$4/12)</f>
        <v/>
      </c>
      <c r="K58" s="14">
        <f>J58*I58</f>
        <v/>
      </c>
      <c r="L58" s="14">
        <f>IF(G58="Yes",(1-(1-F58*(1-Assumptions!$B$6))^(Assumptions!$B$4/12))*I58,K58)</f>
        <v/>
      </c>
    </row>
    <row r="59">
      <c r="A59" s="9" t="inlineStr">
        <is>
          <t>DF-100616</t>
        </is>
      </c>
      <c r="B59" s="9" t="inlineStr">
        <is>
          <t>Data &amp; Analytics</t>
        </is>
      </c>
      <c r="C59" s="9" t="inlineStr">
        <is>
          <t>L1 - Junior</t>
        </is>
      </c>
      <c r="D59" s="10" t="n">
        <v>59484</v>
      </c>
      <c r="E59" s="11" t="n">
        <v>58</v>
      </c>
      <c r="F59" s="12">
        <f>E59/100</f>
        <v/>
      </c>
      <c r="G59" s="9" t="inlineStr">
        <is>
          <t>Yes</t>
        </is>
      </c>
      <c r="H59" s="13">
        <f>VLOOKUP(C59,Assumptions!$A$10:$B$15,2,FALSE)</f>
        <v/>
      </c>
      <c r="I59" s="14">
        <f>D59*H59</f>
        <v/>
      </c>
      <c r="J59" s="12">
        <f>1-(1-F59)^(Assumptions!$B$4/12)</f>
        <v/>
      </c>
      <c r="K59" s="14">
        <f>J59*I59</f>
        <v/>
      </c>
      <c r="L59" s="14">
        <f>IF(G59="Yes",(1-(1-F59*(1-Assumptions!$B$6))^(Assumptions!$B$4/12))*I59,K59)</f>
        <v/>
      </c>
    </row>
    <row r="60">
      <c r="A60" s="9" t="inlineStr">
        <is>
          <t>DF-100258</t>
        </is>
      </c>
      <c r="B60" s="9" t="inlineStr">
        <is>
          <t>Operations</t>
        </is>
      </c>
      <c r="C60" s="9" t="inlineStr">
        <is>
          <t>L1 - Junior</t>
        </is>
      </c>
      <c r="D60" s="10" t="n">
        <v>34877</v>
      </c>
      <c r="E60" s="11" t="n">
        <v>58</v>
      </c>
      <c r="F60" s="12">
        <f>E60/100</f>
        <v/>
      </c>
      <c r="G60" s="9" t="inlineStr">
        <is>
          <t>Yes</t>
        </is>
      </c>
      <c r="H60" s="13">
        <f>VLOOKUP(C60,Assumptions!$A$10:$B$15,2,FALSE)</f>
        <v/>
      </c>
      <c r="I60" s="14">
        <f>D60*H60</f>
        <v/>
      </c>
      <c r="J60" s="12">
        <f>1-(1-F60)^(Assumptions!$B$4/12)</f>
        <v/>
      </c>
      <c r="K60" s="14">
        <f>J60*I60</f>
        <v/>
      </c>
      <c r="L60" s="14">
        <f>IF(G60="Yes",(1-(1-F60*(1-Assumptions!$B$6))^(Assumptions!$B$4/12))*I60,K60)</f>
        <v/>
      </c>
    </row>
    <row r="61">
      <c r="A61" s="9" t="inlineStr">
        <is>
          <t>DF-100075</t>
        </is>
      </c>
      <c r="B61" s="9" t="inlineStr">
        <is>
          <t>Product</t>
        </is>
      </c>
      <c r="C61" s="9" t="inlineStr">
        <is>
          <t>L5 - Manager</t>
        </is>
      </c>
      <c r="D61" s="10" t="n">
        <v>148771</v>
      </c>
      <c r="E61" s="11" t="n">
        <v>57.9</v>
      </c>
      <c r="F61" s="12">
        <f>E61/100</f>
        <v/>
      </c>
      <c r="G61" s="9" t="inlineStr">
        <is>
          <t>Yes</t>
        </is>
      </c>
      <c r="H61" s="13">
        <f>VLOOKUP(C61,Assumptions!$A$10:$B$15,2,FALSE)</f>
        <v/>
      </c>
      <c r="I61" s="14">
        <f>D61*H61</f>
        <v/>
      </c>
      <c r="J61" s="12">
        <f>1-(1-F61)^(Assumptions!$B$4/12)</f>
        <v/>
      </c>
      <c r="K61" s="14">
        <f>J61*I61</f>
        <v/>
      </c>
      <c r="L61" s="14">
        <f>IF(G61="Yes",(1-(1-F61*(1-Assumptions!$B$6))^(Assumptions!$B$4/12))*I61,K61)</f>
        <v/>
      </c>
    </row>
    <row r="62">
      <c r="A62" s="9" t="inlineStr">
        <is>
          <t>DF-100021</t>
        </is>
      </c>
      <c r="B62" s="9" t="inlineStr">
        <is>
          <t>Customer Success</t>
        </is>
      </c>
      <c r="C62" s="9" t="inlineStr">
        <is>
          <t>L3 - Senior</t>
        </is>
      </c>
      <c r="D62" s="10" t="n">
        <v>83290</v>
      </c>
      <c r="E62" s="11" t="n">
        <v>57.1</v>
      </c>
      <c r="F62" s="12">
        <f>E62/100</f>
        <v/>
      </c>
      <c r="G62" s="9" t="inlineStr">
        <is>
          <t>Yes</t>
        </is>
      </c>
      <c r="H62" s="13">
        <f>VLOOKUP(C62,Assumptions!$A$10:$B$15,2,FALSE)</f>
        <v/>
      </c>
      <c r="I62" s="14">
        <f>D62*H62</f>
        <v/>
      </c>
      <c r="J62" s="12">
        <f>1-(1-F62)^(Assumptions!$B$4/12)</f>
        <v/>
      </c>
      <c r="K62" s="14">
        <f>J62*I62</f>
        <v/>
      </c>
      <c r="L62" s="14">
        <f>IF(G62="Yes",(1-(1-F62*(1-Assumptions!$B$6))^(Assumptions!$B$4/12))*I62,K62)</f>
        <v/>
      </c>
    </row>
    <row r="63">
      <c r="A63" s="9" t="inlineStr">
        <is>
          <t>DF-100607</t>
        </is>
      </c>
      <c r="B63" s="9" t="inlineStr">
        <is>
          <t>Support</t>
        </is>
      </c>
      <c r="C63" s="9" t="inlineStr">
        <is>
          <t>L2 - Mid</t>
        </is>
      </c>
      <c r="D63" s="10" t="n">
        <v>56109</v>
      </c>
      <c r="E63" s="11" t="n">
        <v>56.8</v>
      </c>
      <c r="F63" s="12">
        <f>E63/100</f>
        <v/>
      </c>
      <c r="G63" s="9" t="inlineStr">
        <is>
          <t>Yes</t>
        </is>
      </c>
      <c r="H63" s="13">
        <f>VLOOKUP(C63,Assumptions!$A$10:$B$15,2,FALSE)</f>
        <v/>
      </c>
      <c r="I63" s="14">
        <f>D63*H63</f>
        <v/>
      </c>
      <c r="J63" s="12">
        <f>1-(1-F63)^(Assumptions!$B$4/12)</f>
        <v/>
      </c>
      <c r="K63" s="14">
        <f>J63*I63</f>
        <v/>
      </c>
      <c r="L63" s="14">
        <f>IF(G63="Yes",(1-(1-F63*(1-Assumptions!$B$6))^(Assumptions!$B$4/12))*I63,K63)</f>
        <v/>
      </c>
    </row>
    <row r="64">
      <c r="A64" s="9" t="inlineStr">
        <is>
          <t>DF-100074</t>
        </is>
      </c>
      <c r="B64" s="9" t="inlineStr">
        <is>
          <t>Operations</t>
        </is>
      </c>
      <c r="C64" s="9" t="inlineStr">
        <is>
          <t>L2 - Mid</t>
        </is>
      </c>
      <c r="D64" s="10" t="n">
        <v>54599</v>
      </c>
      <c r="E64" s="11" t="n">
        <v>56.7</v>
      </c>
      <c r="F64" s="12">
        <f>E64/100</f>
        <v/>
      </c>
      <c r="G64" s="9" t="inlineStr">
        <is>
          <t>Yes</t>
        </is>
      </c>
      <c r="H64" s="13">
        <f>VLOOKUP(C64,Assumptions!$A$10:$B$15,2,FALSE)</f>
        <v/>
      </c>
      <c r="I64" s="14">
        <f>D64*H64</f>
        <v/>
      </c>
      <c r="J64" s="12">
        <f>1-(1-F64)^(Assumptions!$B$4/12)</f>
        <v/>
      </c>
      <c r="K64" s="14">
        <f>J64*I64</f>
        <v/>
      </c>
      <c r="L64" s="14">
        <f>IF(G64="Yes",(1-(1-F64*(1-Assumptions!$B$6))^(Assumptions!$B$4/12))*I64,K64)</f>
        <v/>
      </c>
    </row>
    <row r="65">
      <c r="A65" s="9" t="inlineStr">
        <is>
          <t>DF-100190</t>
        </is>
      </c>
      <c r="B65" s="9" t="inlineStr">
        <is>
          <t>Sales</t>
        </is>
      </c>
      <c r="C65" s="9" t="inlineStr">
        <is>
          <t>L3 - Senior</t>
        </is>
      </c>
      <c r="D65" s="10" t="n">
        <v>114220</v>
      </c>
      <c r="E65" s="11" t="n">
        <v>56.7</v>
      </c>
      <c r="F65" s="12">
        <f>E65/100</f>
        <v/>
      </c>
      <c r="G65" s="9" t="inlineStr">
        <is>
          <t>Yes</t>
        </is>
      </c>
      <c r="H65" s="13">
        <f>VLOOKUP(C65,Assumptions!$A$10:$B$15,2,FALSE)</f>
        <v/>
      </c>
      <c r="I65" s="14">
        <f>D65*H65</f>
        <v/>
      </c>
      <c r="J65" s="12">
        <f>1-(1-F65)^(Assumptions!$B$4/12)</f>
        <v/>
      </c>
      <c r="K65" s="14">
        <f>J65*I65</f>
        <v/>
      </c>
      <c r="L65" s="14">
        <f>IF(G65="Yes",(1-(1-F65*(1-Assumptions!$B$6))^(Assumptions!$B$4/12))*I65,K65)</f>
        <v/>
      </c>
    </row>
    <row r="66">
      <c r="A66" s="9" t="inlineStr">
        <is>
          <t>DF-100458</t>
        </is>
      </c>
      <c r="B66" s="9" t="inlineStr">
        <is>
          <t>Operations</t>
        </is>
      </c>
      <c r="C66" s="9" t="inlineStr">
        <is>
          <t>L6 - Director</t>
        </is>
      </c>
      <c r="D66" s="10" t="n">
        <v>131498</v>
      </c>
      <c r="E66" s="11" t="n">
        <v>56.6</v>
      </c>
      <c r="F66" s="12">
        <f>E66/100</f>
        <v/>
      </c>
      <c r="G66" s="9" t="inlineStr">
        <is>
          <t>No</t>
        </is>
      </c>
      <c r="H66" s="13">
        <f>VLOOKUP(C66,Assumptions!$A$10:$B$15,2,FALSE)</f>
        <v/>
      </c>
      <c r="I66" s="14">
        <f>D66*H66</f>
        <v/>
      </c>
      <c r="J66" s="12">
        <f>1-(1-F66)^(Assumptions!$B$4/12)</f>
        <v/>
      </c>
      <c r="K66" s="14">
        <f>J66*I66</f>
        <v/>
      </c>
      <c r="L66" s="14">
        <f>IF(G66="Yes",(1-(1-F66*(1-Assumptions!$B$6))^(Assumptions!$B$4/12))*I66,K66)</f>
        <v/>
      </c>
    </row>
    <row r="67">
      <c r="A67" s="9" t="inlineStr">
        <is>
          <t>DF-100080</t>
        </is>
      </c>
      <c r="B67" s="9" t="inlineStr">
        <is>
          <t>Support</t>
        </is>
      </c>
      <c r="C67" s="9" t="inlineStr">
        <is>
          <t>L2 - Mid</t>
        </is>
      </c>
      <c r="D67" s="10" t="n">
        <v>54192</v>
      </c>
      <c r="E67" s="11" t="n">
        <v>56.6</v>
      </c>
      <c r="F67" s="12">
        <f>E67/100</f>
        <v/>
      </c>
      <c r="G67" s="9" t="inlineStr">
        <is>
          <t>No</t>
        </is>
      </c>
      <c r="H67" s="13">
        <f>VLOOKUP(C67,Assumptions!$A$10:$B$15,2,FALSE)</f>
        <v/>
      </c>
      <c r="I67" s="14">
        <f>D67*H67</f>
        <v/>
      </c>
      <c r="J67" s="12">
        <f>1-(1-F67)^(Assumptions!$B$4/12)</f>
        <v/>
      </c>
      <c r="K67" s="14">
        <f>J67*I67</f>
        <v/>
      </c>
      <c r="L67" s="14">
        <f>IF(G67="Yes",(1-(1-F67*(1-Assumptions!$B$6))^(Assumptions!$B$4/12))*I67,K67)</f>
        <v/>
      </c>
    </row>
    <row r="68">
      <c r="A68" s="9" t="inlineStr">
        <is>
          <t>DF-100209</t>
        </is>
      </c>
      <c r="B68" s="9" t="inlineStr">
        <is>
          <t>Engineering</t>
        </is>
      </c>
      <c r="C68" s="9" t="inlineStr">
        <is>
          <t>L1 - Junior</t>
        </is>
      </c>
      <c r="D68" s="10" t="n">
        <v>44445</v>
      </c>
      <c r="E68" s="11" t="n">
        <v>56.3</v>
      </c>
      <c r="F68" s="12">
        <f>E68/100</f>
        <v/>
      </c>
      <c r="G68" s="9" t="inlineStr">
        <is>
          <t>No</t>
        </is>
      </c>
      <c r="H68" s="13">
        <f>VLOOKUP(C68,Assumptions!$A$10:$B$15,2,FALSE)</f>
        <v/>
      </c>
      <c r="I68" s="14">
        <f>D68*H68</f>
        <v/>
      </c>
      <c r="J68" s="12">
        <f>1-(1-F68)^(Assumptions!$B$4/12)</f>
        <v/>
      </c>
      <c r="K68" s="14">
        <f>J68*I68</f>
        <v/>
      </c>
      <c r="L68" s="14">
        <f>IF(G68="Yes",(1-(1-F68*(1-Assumptions!$B$6))^(Assumptions!$B$4/12))*I68,K68)</f>
        <v/>
      </c>
    </row>
    <row r="69">
      <c r="A69" s="9" t="inlineStr">
        <is>
          <t>DF-100542</t>
        </is>
      </c>
      <c r="B69" s="9" t="inlineStr">
        <is>
          <t>People/HR</t>
        </is>
      </c>
      <c r="C69" s="9" t="inlineStr">
        <is>
          <t>L2 - Mid</t>
        </is>
      </c>
      <c r="D69" s="10" t="n">
        <v>58938</v>
      </c>
      <c r="E69" s="11" t="n">
        <v>56.2</v>
      </c>
      <c r="F69" s="12">
        <f>E69/100</f>
        <v/>
      </c>
      <c r="G69" s="9" t="inlineStr">
        <is>
          <t>No</t>
        </is>
      </c>
      <c r="H69" s="13">
        <f>VLOOKUP(C69,Assumptions!$A$10:$B$15,2,FALSE)</f>
        <v/>
      </c>
      <c r="I69" s="14">
        <f>D69*H69</f>
        <v/>
      </c>
      <c r="J69" s="12">
        <f>1-(1-F69)^(Assumptions!$B$4/12)</f>
        <v/>
      </c>
      <c r="K69" s="14">
        <f>J69*I69</f>
        <v/>
      </c>
      <c r="L69" s="14">
        <f>IF(G69="Yes",(1-(1-F69*(1-Assumptions!$B$6))^(Assumptions!$B$4/12))*I69,K69)</f>
        <v/>
      </c>
    </row>
    <row r="70">
      <c r="A70" s="9" t="inlineStr">
        <is>
          <t>DF-100332</t>
        </is>
      </c>
      <c r="B70" s="9" t="inlineStr">
        <is>
          <t>People/HR</t>
        </is>
      </c>
      <c r="C70" s="9" t="inlineStr">
        <is>
          <t>L2 - Mid</t>
        </is>
      </c>
      <c r="D70" s="10" t="n">
        <v>60640</v>
      </c>
      <c r="E70" s="11" t="n">
        <v>56.1</v>
      </c>
      <c r="F70" s="12">
        <f>E70/100</f>
        <v/>
      </c>
      <c r="G70" s="9" t="inlineStr">
        <is>
          <t>No</t>
        </is>
      </c>
      <c r="H70" s="13">
        <f>VLOOKUP(C70,Assumptions!$A$10:$B$15,2,FALSE)</f>
        <v/>
      </c>
      <c r="I70" s="14">
        <f>D70*H70</f>
        <v/>
      </c>
      <c r="J70" s="12">
        <f>1-(1-F70)^(Assumptions!$B$4/12)</f>
        <v/>
      </c>
      <c r="K70" s="14">
        <f>J70*I70</f>
        <v/>
      </c>
      <c r="L70" s="14">
        <f>IF(G70="Yes",(1-(1-F70*(1-Assumptions!$B$6))^(Assumptions!$B$4/12))*I70,K70)</f>
        <v/>
      </c>
    </row>
    <row r="71">
      <c r="A71" s="9" t="inlineStr">
        <is>
          <t>DF-100396</t>
        </is>
      </c>
      <c r="B71" s="9" t="inlineStr">
        <is>
          <t>Data &amp; Analytics</t>
        </is>
      </c>
      <c r="C71" s="9" t="inlineStr">
        <is>
          <t>L2 - Mid</t>
        </is>
      </c>
      <c r="D71" s="10" t="n">
        <v>74408</v>
      </c>
      <c r="E71" s="11" t="n">
        <v>55.8</v>
      </c>
      <c r="F71" s="12">
        <f>E71/100</f>
        <v/>
      </c>
      <c r="G71" s="9" t="inlineStr">
        <is>
          <t>No</t>
        </is>
      </c>
      <c r="H71" s="13">
        <f>VLOOKUP(C71,Assumptions!$A$10:$B$15,2,FALSE)</f>
        <v/>
      </c>
      <c r="I71" s="14">
        <f>D71*H71</f>
        <v/>
      </c>
      <c r="J71" s="12">
        <f>1-(1-F71)^(Assumptions!$B$4/12)</f>
        <v/>
      </c>
      <c r="K71" s="14">
        <f>J71*I71</f>
        <v/>
      </c>
      <c r="L71" s="14">
        <f>IF(G71="Yes",(1-(1-F71*(1-Assumptions!$B$6))^(Assumptions!$B$4/12))*I71,K71)</f>
        <v/>
      </c>
    </row>
    <row r="72">
      <c r="A72" s="9" t="inlineStr">
        <is>
          <t>DF-100282</t>
        </is>
      </c>
      <c r="B72" s="9" t="inlineStr">
        <is>
          <t>Product</t>
        </is>
      </c>
      <c r="C72" s="9" t="inlineStr">
        <is>
          <t>L1 - Junior</t>
        </is>
      </c>
      <c r="D72" s="10" t="n">
        <v>53009</v>
      </c>
      <c r="E72" s="11" t="n">
        <v>55.5</v>
      </c>
      <c r="F72" s="12">
        <f>E72/100</f>
        <v/>
      </c>
      <c r="G72" s="9" t="inlineStr">
        <is>
          <t>No</t>
        </is>
      </c>
      <c r="H72" s="13">
        <f>VLOOKUP(C72,Assumptions!$A$10:$B$15,2,FALSE)</f>
        <v/>
      </c>
      <c r="I72" s="14">
        <f>D72*H72</f>
        <v/>
      </c>
      <c r="J72" s="12">
        <f>1-(1-F72)^(Assumptions!$B$4/12)</f>
        <v/>
      </c>
      <c r="K72" s="14">
        <f>J72*I72</f>
        <v/>
      </c>
      <c r="L72" s="14">
        <f>IF(G72="Yes",(1-(1-F72*(1-Assumptions!$B$6))^(Assumptions!$B$4/12))*I72,K72)</f>
        <v/>
      </c>
    </row>
    <row r="73">
      <c r="A73" s="9" t="inlineStr">
        <is>
          <t>DF-100277</t>
        </is>
      </c>
      <c r="B73" s="9" t="inlineStr">
        <is>
          <t>Marketing</t>
        </is>
      </c>
      <c r="C73" s="9" t="inlineStr">
        <is>
          <t>L3 - Senior</t>
        </is>
      </c>
      <c r="D73" s="10" t="n">
        <v>74402</v>
      </c>
      <c r="E73" s="11" t="n">
        <v>55.5</v>
      </c>
      <c r="F73" s="12">
        <f>E73/100</f>
        <v/>
      </c>
      <c r="G73" s="9" t="inlineStr">
        <is>
          <t>No</t>
        </is>
      </c>
      <c r="H73" s="13">
        <f>VLOOKUP(C73,Assumptions!$A$10:$B$15,2,FALSE)</f>
        <v/>
      </c>
      <c r="I73" s="14">
        <f>D73*H73</f>
        <v/>
      </c>
      <c r="J73" s="12">
        <f>1-(1-F73)^(Assumptions!$B$4/12)</f>
        <v/>
      </c>
      <c r="K73" s="14">
        <f>J73*I73</f>
        <v/>
      </c>
      <c r="L73" s="14">
        <f>IF(G73="Yes",(1-(1-F73*(1-Assumptions!$B$6))^(Assumptions!$B$4/12))*I73,K73)</f>
        <v/>
      </c>
    </row>
    <row r="74">
      <c r="A74" s="9" t="inlineStr">
        <is>
          <t>DF-100672</t>
        </is>
      </c>
      <c r="B74" s="9" t="inlineStr">
        <is>
          <t>Product</t>
        </is>
      </c>
      <c r="C74" s="9" t="inlineStr">
        <is>
          <t>L1 - Junior</t>
        </is>
      </c>
      <c r="D74" s="10" t="n">
        <v>57212</v>
      </c>
      <c r="E74" s="11" t="n">
        <v>55.5</v>
      </c>
      <c r="F74" s="12">
        <f>E74/100</f>
        <v/>
      </c>
      <c r="G74" s="9" t="inlineStr">
        <is>
          <t>No</t>
        </is>
      </c>
      <c r="H74" s="13">
        <f>VLOOKUP(C74,Assumptions!$A$10:$B$15,2,FALSE)</f>
        <v/>
      </c>
      <c r="I74" s="14">
        <f>D74*H74</f>
        <v/>
      </c>
      <c r="J74" s="12">
        <f>1-(1-F74)^(Assumptions!$B$4/12)</f>
        <v/>
      </c>
      <c r="K74" s="14">
        <f>J74*I74</f>
        <v/>
      </c>
      <c r="L74" s="14">
        <f>IF(G74="Yes",(1-(1-F74*(1-Assumptions!$B$6))^(Assumptions!$B$4/12))*I74,K74)</f>
        <v/>
      </c>
    </row>
    <row r="75">
      <c r="A75" s="9" t="inlineStr">
        <is>
          <t>DF-100038</t>
        </is>
      </c>
      <c r="B75" s="9" t="inlineStr">
        <is>
          <t>Operations</t>
        </is>
      </c>
      <c r="C75" s="9" t="inlineStr">
        <is>
          <t>L3 - Senior</t>
        </is>
      </c>
      <c r="D75" s="10" t="n">
        <v>77507</v>
      </c>
      <c r="E75" s="11" t="n">
        <v>55.4</v>
      </c>
      <c r="F75" s="12">
        <f>E75/100</f>
        <v/>
      </c>
      <c r="G75" s="9" t="inlineStr">
        <is>
          <t>No</t>
        </is>
      </c>
      <c r="H75" s="13">
        <f>VLOOKUP(C75,Assumptions!$A$10:$B$15,2,FALSE)</f>
        <v/>
      </c>
      <c r="I75" s="14">
        <f>D75*H75</f>
        <v/>
      </c>
      <c r="J75" s="12">
        <f>1-(1-F75)^(Assumptions!$B$4/12)</f>
        <v/>
      </c>
      <c r="K75" s="14">
        <f>J75*I75</f>
        <v/>
      </c>
      <c r="L75" s="14">
        <f>IF(G75="Yes",(1-(1-F75*(1-Assumptions!$B$6))^(Assumptions!$B$4/12))*I75,K75)</f>
        <v/>
      </c>
    </row>
    <row r="76">
      <c r="A76" s="9" t="inlineStr">
        <is>
          <t>DF-100051</t>
        </is>
      </c>
      <c r="B76" s="9" t="inlineStr">
        <is>
          <t>People/HR</t>
        </is>
      </c>
      <c r="C76" s="9" t="inlineStr">
        <is>
          <t>L2 - Mid</t>
        </is>
      </c>
      <c r="D76" s="10" t="n">
        <v>53618</v>
      </c>
      <c r="E76" s="11" t="n">
        <v>54.7</v>
      </c>
      <c r="F76" s="12">
        <f>E76/100</f>
        <v/>
      </c>
      <c r="G76" s="9" t="inlineStr">
        <is>
          <t>No</t>
        </is>
      </c>
      <c r="H76" s="13">
        <f>VLOOKUP(C76,Assumptions!$A$10:$B$15,2,FALSE)</f>
        <v/>
      </c>
      <c r="I76" s="14">
        <f>D76*H76</f>
        <v/>
      </c>
      <c r="J76" s="12">
        <f>1-(1-F76)^(Assumptions!$B$4/12)</f>
        <v/>
      </c>
      <c r="K76" s="14">
        <f>J76*I76</f>
        <v/>
      </c>
      <c r="L76" s="14">
        <f>IF(G76="Yes",(1-(1-F76*(1-Assumptions!$B$6))^(Assumptions!$B$4/12))*I76,K76)</f>
        <v/>
      </c>
    </row>
    <row r="77">
      <c r="A77" s="9" t="inlineStr">
        <is>
          <t>DF-100072</t>
        </is>
      </c>
      <c r="B77" s="9" t="inlineStr">
        <is>
          <t>People/HR</t>
        </is>
      </c>
      <c r="C77" s="9" t="inlineStr">
        <is>
          <t>L4 - Lead</t>
        </is>
      </c>
      <c r="D77" s="10" t="n">
        <v>97289</v>
      </c>
      <c r="E77" s="11" t="n">
        <v>54.5</v>
      </c>
      <c r="F77" s="12">
        <f>E77/100</f>
        <v/>
      </c>
      <c r="G77" s="9" t="inlineStr">
        <is>
          <t>No</t>
        </is>
      </c>
      <c r="H77" s="13">
        <f>VLOOKUP(C77,Assumptions!$A$10:$B$15,2,FALSE)</f>
        <v/>
      </c>
      <c r="I77" s="14">
        <f>D77*H77</f>
        <v/>
      </c>
      <c r="J77" s="12">
        <f>1-(1-F77)^(Assumptions!$B$4/12)</f>
        <v/>
      </c>
      <c r="K77" s="14">
        <f>J77*I77</f>
        <v/>
      </c>
      <c r="L77" s="14">
        <f>IF(G77="Yes",(1-(1-F77*(1-Assumptions!$B$6))^(Assumptions!$B$4/12))*I77,K77)</f>
        <v/>
      </c>
    </row>
    <row r="78">
      <c r="A78" s="9" t="inlineStr">
        <is>
          <t>DF-100003</t>
        </is>
      </c>
      <c r="B78" s="9" t="inlineStr">
        <is>
          <t>Sales</t>
        </is>
      </c>
      <c r="C78" s="9" t="inlineStr">
        <is>
          <t>L2 - Mid</t>
        </is>
      </c>
      <c r="D78" s="10" t="n">
        <v>69615</v>
      </c>
      <c r="E78" s="11" t="n">
        <v>54.2</v>
      </c>
      <c r="F78" s="12">
        <f>E78/100</f>
        <v/>
      </c>
      <c r="G78" s="9" t="inlineStr">
        <is>
          <t>No</t>
        </is>
      </c>
      <c r="H78" s="13">
        <f>VLOOKUP(C78,Assumptions!$A$10:$B$15,2,FALSE)</f>
        <v/>
      </c>
      <c r="I78" s="14">
        <f>D78*H78</f>
        <v/>
      </c>
      <c r="J78" s="12">
        <f>1-(1-F78)^(Assumptions!$B$4/12)</f>
        <v/>
      </c>
      <c r="K78" s="14">
        <f>J78*I78</f>
        <v/>
      </c>
      <c r="L78" s="14">
        <f>IF(G78="Yes",(1-(1-F78*(1-Assumptions!$B$6))^(Assumptions!$B$4/12))*I78,K78)</f>
        <v/>
      </c>
    </row>
    <row r="79">
      <c r="A79" s="9" t="inlineStr">
        <is>
          <t>DF-100202</t>
        </is>
      </c>
      <c r="B79" s="9" t="inlineStr">
        <is>
          <t>Marketing</t>
        </is>
      </c>
      <c r="C79" s="9" t="inlineStr">
        <is>
          <t>L4 - Lead</t>
        </is>
      </c>
      <c r="D79" s="10" t="n">
        <v>88990</v>
      </c>
      <c r="E79" s="11" t="n">
        <v>54.1</v>
      </c>
      <c r="F79" s="12">
        <f>E79/100</f>
        <v/>
      </c>
      <c r="G79" s="9" t="inlineStr">
        <is>
          <t>No</t>
        </is>
      </c>
      <c r="H79" s="13">
        <f>VLOOKUP(C79,Assumptions!$A$10:$B$15,2,FALSE)</f>
        <v/>
      </c>
      <c r="I79" s="14">
        <f>D79*H79</f>
        <v/>
      </c>
      <c r="J79" s="12">
        <f>1-(1-F79)^(Assumptions!$B$4/12)</f>
        <v/>
      </c>
      <c r="K79" s="14">
        <f>J79*I79</f>
        <v/>
      </c>
      <c r="L79" s="14">
        <f>IF(G79="Yes",(1-(1-F79*(1-Assumptions!$B$6))^(Assumptions!$B$4/12))*I79,K79)</f>
        <v/>
      </c>
    </row>
    <row r="80">
      <c r="A80" s="9" t="inlineStr">
        <is>
          <t>DF-100429</t>
        </is>
      </c>
      <c r="B80" s="9" t="inlineStr">
        <is>
          <t>Support</t>
        </is>
      </c>
      <c r="C80" s="9" t="inlineStr">
        <is>
          <t>L2 - Mid</t>
        </is>
      </c>
      <c r="D80" s="10" t="n">
        <v>47140</v>
      </c>
      <c r="E80" s="11" t="n">
        <v>53.9</v>
      </c>
      <c r="F80" s="12">
        <f>E80/100</f>
        <v/>
      </c>
      <c r="G80" s="9" t="inlineStr">
        <is>
          <t>No</t>
        </is>
      </c>
      <c r="H80" s="13">
        <f>VLOOKUP(C80,Assumptions!$A$10:$B$15,2,FALSE)</f>
        <v/>
      </c>
      <c r="I80" s="14">
        <f>D80*H80</f>
        <v/>
      </c>
      <c r="J80" s="12">
        <f>1-(1-F80)^(Assumptions!$B$4/12)</f>
        <v/>
      </c>
      <c r="K80" s="14">
        <f>J80*I80</f>
        <v/>
      </c>
      <c r="L80" s="14">
        <f>IF(G80="Yes",(1-(1-F80*(1-Assumptions!$B$6))^(Assumptions!$B$4/12))*I80,K80)</f>
        <v/>
      </c>
    </row>
    <row r="81">
      <c r="A81" s="9" t="inlineStr">
        <is>
          <t>DF-100047</t>
        </is>
      </c>
      <c r="B81" s="9" t="inlineStr">
        <is>
          <t>Engineering</t>
        </is>
      </c>
      <c r="C81" s="9" t="inlineStr">
        <is>
          <t>L1 - Junior</t>
        </is>
      </c>
      <c r="D81" s="10" t="n">
        <v>55451</v>
      </c>
      <c r="E81" s="11" t="n">
        <v>53.8</v>
      </c>
      <c r="F81" s="12">
        <f>E81/100</f>
        <v/>
      </c>
      <c r="G81" s="9" t="inlineStr">
        <is>
          <t>No</t>
        </is>
      </c>
      <c r="H81" s="13">
        <f>VLOOKUP(C81,Assumptions!$A$10:$B$15,2,FALSE)</f>
        <v/>
      </c>
      <c r="I81" s="14">
        <f>D81*H81</f>
        <v/>
      </c>
      <c r="J81" s="12">
        <f>1-(1-F81)^(Assumptions!$B$4/12)</f>
        <v/>
      </c>
      <c r="K81" s="14">
        <f>J81*I81</f>
        <v/>
      </c>
      <c r="L81" s="14">
        <f>IF(G81="Yes",(1-(1-F81*(1-Assumptions!$B$6))^(Assumptions!$B$4/12))*I81,K81)</f>
        <v/>
      </c>
    </row>
    <row r="82">
      <c r="A82" s="9" t="inlineStr">
        <is>
          <t>DF-100110</t>
        </is>
      </c>
      <c r="B82" s="9" t="inlineStr">
        <is>
          <t>Product</t>
        </is>
      </c>
      <c r="C82" s="9" t="inlineStr">
        <is>
          <t>L1 - Junior</t>
        </is>
      </c>
      <c r="D82" s="10" t="n">
        <v>43249</v>
      </c>
      <c r="E82" s="11" t="n">
        <v>53.7</v>
      </c>
      <c r="F82" s="12">
        <f>E82/100</f>
        <v/>
      </c>
      <c r="G82" s="9" t="inlineStr">
        <is>
          <t>No</t>
        </is>
      </c>
      <c r="H82" s="13">
        <f>VLOOKUP(C82,Assumptions!$A$10:$B$15,2,FALSE)</f>
        <v/>
      </c>
      <c r="I82" s="14">
        <f>D82*H82</f>
        <v/>
      </c>
      <c r="J82" s="12">
        <f>1-(1-F82)^(Assumptions!$B$4/12)</f>
        <v/>
      </c>
      <c r="K82" s="14">
        <f>J82*I82</f>
        <v/>
      </c>
      <c r="L82" s="14">
        <f>IF(G82="Yes",(1-(1-F82*(1-Assumptions!$B$6))^(Assumptions!$B$4/12))*I82,K82)</f>
        <v/>
      </c>
    </row>
    <row r="83">
      <c r="A83" s="9" t="inlineStr">
        <is>
          <t>DF-100506</t>
        </is>
      </c>
      <c r="B83" s="9" t="inlineStr">
        <is>
          <t>Marketing</t>
        </is>
      </c>
      <c r="C83" s="9" t="inlineStr">
        <is>
          <t>L1 - Junior</t>
        </is>
      </c>
      <c r="D83" s="10" t="n">
        <v>33276</v>
      </c>
      <c r="E83" s="11" t="n">
        <v>53.7</v>
      </c>
      <c r="F83" s="12">
        <f>E83/100</f>
        <v/>
      </c>
      <c r="G83" s="9" t="inlineStr">
        <is>
          <t>No</t>
        </is>
      </c>
      <c r="H83" s="13">
        <f>VLOOKUP(C83,Assumptions!$A$10:$B$15,2,FALSE)</f>
        <v/>
      </c>
      <c r="I83" s="14">
        <f>D83*H83</f>
        <v/>
      </c>
      <c r="J83" s="12">
        <f>1-(1-F83)^(Assumptions!$B$4/12)</f>
        <v/>
      </c>
      <c r="K83" s="14">
        <f>J83*I83</f>
        <v/>
      </c>
      <c r="L83" s="14">
        <f>IF(G83="Yes",(1-(1-F83*(1-Assumptions!$B$6))^(Assumptions!$B$4/12))*I83,K83)</f>
        <v/>
      </c>
    </row>
    <row r="84">
      <c r="A84" s="9" t="inlineStr">
        <is>
          <t>DF-100310</t>
        </is>
      </c>
      <c r="B84" s="9" t="inlineStr">
        <is>
          <t>Operations</t>
        </is>
      </c>
      <c r="C84" s="9" t="inlineStr">
        <is>
          <t>L2 - Mid</t>
        </is>
      </c>
      <c r="D84" s="10" t="n">
        <v>50356</v>
      </c>
      <c r="E84" s="11" t="n">
        <v>53.6</v>
      </c>
      <c r="F84" s="12">
        <f>E84/100</f>
        <v/>
      </c>
      <c r="G84" s="9" t="inlineStr">
        <is>
          <t>No</t>
        </is>
      </c>
      <c r="H84" s="13">
        <f>VLOOKUP(C84,Assumptions!$A$10:$B$15,2,FALSE)</f>
        <v/>
      </c>
      <c r="I84" s="14">
        <f>D84*H84</f>
        <v/>
      </c>
      <c r="J84" s="12">
        <f>1-(1-F84)^(Assumptions!$B$4/12)</f>
        <v/>
      </c>
      <c r="K84" s="14">
        <f>J84*I84</f>
        <v/>
      </c>
      <c r="L84" s="14">
        <f>IF(G84="Yes",(1-(1-F84*(1-Assumptions!$B$6))^(Assumptions!$B$4/12))*I84,K84)</f>
        <v/>
      </c>
    </row>
    <row r="85">
      <c r="A85" s="9" t="inlineStr">
        <is>
          <t>DF-100381</t>
        </is>
      </c>
      <c r="B85" s="9" t="inlineStr">
        <is>
          <t>Finance</t>
        </is>
      </c>
      <c r="C85" s="9" t="inlineStr">
        <is>
          <t>L3 - Senior</t>
        </is>
      </c>
      <c r="D85" s="10" t="n">
        <v>88928</v>
      </c>
      <c r="E85" s="11" t="n">
        <v>53.1</v>
      </c>
      <c r="F85" s="12">
        <f>E85/100</f>
        <v/>
      </c>
      <c r="G85" s="9" t="inlineStr">
        <is>
          <t>No</t>
        </is>
      </c>
      <c r="H85" s="13">
        <f>VLOOKUP(C85,Assumptions!$A$10:$B$15,2,FALSE)</f>
        <v/>
      </c>
      <c r="I85" s="14">
        <f>D85*H85</f>
        <v/>
      </c>
      <c r="J85" s="12">
        <f>1-(1-F85)^(Assumptions!$B$4/12)</f>
        <v/>
      </c>
      <c r="K85" s="14">
        <f>J85*I85</f>
        <v/>
      </c>
      <c r="L85" s="14">
        <f>IF(G85="Yes",(1-(1-F85*(1-Assumptions!$B$6))^(Assumptions!$B$4/12))*I85,K85)</f>
        <v/>
      </c>
    </row>
    <row r="86">
      <c r="A86" s="9" t="inlineStr">
        <is>
          <t>DF-100302</t>
        </is>
      </c>
      <c r="B86" s="9" t="inlineStr">
        <is>
          <t>Product</t>
        </is>
      </c>
      <c r="C86" s="9" t="inlineStr">
        <is>
          <t>L3 - Senior</t>
        </is>
      </c>
      <c r="D86" s="10" t="n">
        <v>80483</v>
      </c>
      <c r="E86" s="11" t="n">
        <v>53.1</v>
      </c>
      <c r="F86" s="12">
        <f>E86/100</f>
        <v/>
      </c>
      <c r="G86" s="9" t="inlineStr">
        <is>
          <t>No</t>
        </is>
      </c>
      <c r="H86" s="13">
        <f>VLOOKUP(C86,Assumptions!$A$10:$B$15,2,FALSE)</f>
        <v/>
      </c>
      <c r="I86" s="14">
        <f>D86*H86</f>
        <v/>
      </c>
      <c r="J86" s="12">
        <f>1-(1-F86)^(Assumptions!$B$4/12)</f>
        <v/>
      </c>
      <c r="K86" s="14">
        <f>J86*I86</f>
        <v/>
      </c>
      <c r="L86" s="14">
        <f>IF(G86="Yes",(1-(1-F86*(1-Assumptions!$B$6))^(Assumptions!$B$4/12))*I86,K86)</f>
        <v/>
      </c>
    </row>
    <row r="87">
      <c r="A87" s="9" t="inlineStr">
        <is>
          <t>DF-100371</t>
        </is>
      </c>
      <c r="B87" s="9" t="inlineStr">
        <is>
          <t>Support</t>
        </is>
      </c>
      <c r="C87" s="9" t="inlineStr">
        <is>
          <t>L1 - Junior</t>
        </is>
      </c>
      <c r="D87" s="10" t="n">
        <v>30044</v>
      </c>
      <c r="E87" s="11" t="n">
        <v>53</v>
      </c>
      <c r="F87" s="12">
        <f>E87/100</f>
        <v/>
      </c>
      <c r="G87" s="9" t="inlineStr">
        <is>
          <t>No</t>
        </is>
      </c>
      <c r="H87" s="13">
        <f>VLOOKUP(C87,Assumptions!$A$10:$B$15,2,FALSE)</f>
        <v/>
      </c>
      <c r="I87" s="14">
        <f>D87*H87</f>
        <v/>
      </c>
      <c r="J87" s="12">
        <f>1-(1-F87)^(Assumptions!$B$4/12)</f>
        <v/>
      </c>
      <c r="K87" s="14">
        <f>J87*I87</f>
        <v/>
      </c>
      <c r="L87" s="14">
        <f>IF(G87="Yes",(1-(1-F87*(1-Assumptions!$B$6))^(Assumptions!$B$4/12))*I87,K87)</f>
        <v/>
      </c>
    </row>
    <row r="88">
      <c r="A88" s="9" t="inlineStr">
        <is>
          <t>DF-100065</t>
        </is>
      </c>
      <c r="B88" s="9" t="inlineStr">
        <is>
          <t>Sales</t>
        </is>
      </c>
      <c r="C88" s="9" t="inlineStr">
        <is>
          <t>L2 - Mid</t>
        </is>
      </c>
      <c r="D88" s="10" t="n">
        <v>69235</v>
      </c>
      <c r="E88" s="11" t="n">
        <v>52.6</v>
      </c>
      <c r="F88" s="12">
        <f>E88/100</f>
        <v/>
      </c>
      <c r="G88" s="9" t="inlineStr">
        <is>
          <t>No</t>
        </is>
      </c>
      <c r="H88" s="13">
        <f>VLOOKUP(C88,Assumptions!$A$10:$B$15,2,FALSE)</f>
        <v/>
      </c>
      <c r="I88" s="14">
        <f>D88*H88</f>
        <v/>
      </c>
      <c r="J88" s="12">
        <f>1-(1-F88)^(Assumptions!$B$4/12)</f>
        <v/>
      </c>
      <c r="K88" s="14">
        <f>J88*I88</f>
        <v/>
      </c>
      <c r="L88" s="14">
        <f>IF(G88="Yes",(1-(1-F88*(1-Assumptions!$B$6))^(Assumptions!$B$4/12))*I88,K88)</f>
        <v/>
      </c>
    </row>
    <row r="89">
      <c r="A89" s="9" t="inlineStr">
        <is>
          <t>DF-100601</t>
        </is>
      </c>
      <c r="B89" s="9" t="inlineStr">
        <is>
          <t>Data &amp; Analytics</t>
        </is>
      </c>
      <c r="C89" s="9" t="inlineStr">
        <is>
          <t>L3 - Senior</t>
        </is>
      </c>
      <c r="D89" s="10" t="n">
        <v>96033</v>
      </c>
      <c r="E89" s="11" t="n">
        <v>52.5</v>
      </c>
      <c r="F89" s="12">
        <f>E89/100</f>
        <v/>
      </c>
      <c r="G89" s="9" t="inlineStr">
        <is>
          <t>No</t>
        </is>
      </c>
      <c r="H89" s="13">
        <f>VLOOKUP(C89,Assumptions!$A$10:$B$15,2,FALSE)</f>
        <v/>
      </c>
      <c r="I89" s="14">
        <f>D89*H89</f>
        <v/>
      </c>
      <c r="J89" s="12">
        <f>1-(1-F89)^(Assumptions!$B$4/12)</f>
        <v/>
      </c>
      <c r="K89" s="14">
        <f>J89*I89</f>
        <v/>
      </c>
      <c r="L89" s="14">
        <f>IF(G89="Yes",(1-(1-F89*(1-Assumptions!$B$6))^(Assumptions!$B$4/12))*I89,K89)</f>
        <v/>
      </c>
    </row>
    <row r="90">
      <c r="A90" s="9" t="inlineStr">
        <is>
          <t>DF-100386</t>
        </is>
      </c>
      <c r="B90" s="9" t="inlineStr">
        <is>
          <t>Data &amp; Analytics</t>
        </is>
      </c>
      <c r="C90" s="9" t="inlineStr">
        <is>
          <t>L2 - Mid</t>
        </is>
      </c>
      <c r="D90" s="10" t="n">
        <v>79239</v>
      </c>
      <c r="E90" s="11" t="n">
        <v>52.4</v>
      </c>
      <c r="F90" s="12">
        <f>E90/100</f>
        <v/>
      </c>
      <c r="G90" s="9" t="inlineStr">
        <is>
          <t>No</t>
        </is>
      </c>
      <c r="H90" s="13">
        <f>VLOOKUP(C90,Assumptions!$A$10:$B$15,2,FALSE)</f>
        <v/>
      </c>
      <c r="I90" s="14">
        <f>D90*H90</f>
        <v/>
      </c>
      <c r="J90" s="12">
        <f>1-(1-F90)^(Assumptions!$B$4/12)</f>
        <v/>
      </c>
      <c r="K90" s="14">
        <f>J90*I90</f>
        <v/>
      </c>
      <c r="L90" s="14">
        <f>IF(G90="Yes",(1-(1-F90*(1-Assumptions!$B$6))^(Assumptions!$B$4/12))*I90,K90)</f>
        <v/>
      </c>
    </row>
    <row r="91">
      <c r="A91" s="9" t="inlineStr">
        <is>
          <t>DF-100307</t>
        </is>
      </c>
      <c r="B91" s="9" t="inlineStr">
        <is>
          <t>Sales</t>
        </is>
      </c>
      <c r="C91" s="9" t="inlineStr">
        <is>
          <t>L3 - Senior</t>
        </is>
      </c>
      <c r="D91" s="10" t="n">
        <v>93601</v>
      </c>
      <c r="E91" s="11" t="n">
        <v>52.3</v>
      </c>
      <c r="F91" s="12">
        <f>E91/100</f>
        <v/>
      </c>
      <c r="G91" s="9" t="inlineStr">
        <is>
          <t>No</t>
        </is>
      </c>
      <c r="H91" s="13">
        <f>VLOOKUP(C91,Assumptions!$A$10:$B$15,2,FALSE)</f>
        <v/>
      </c>
      <c r="I91" s="14">
        <f>D91*H91</f>
        <v/>
      </c>
      <c r="J91" s="12">
        <f>1-(1-F91)^(Assumptions!$B$4/12)</f>
        <v/>
      </c>
      <c r="K91" s="14">
        <f>J91*I91</f>
        <v/>
      </c>
      <c r="L91" s="14">
        <f>IF(G91="Yes",(1-(1-F91*(1-Assumptions!$B$6))^(Assumptions!$B$4/12))*I91,K91)</f>
        <v/>
      </c>
    </row>
    <row r="92">
      <c r="A92" s="9" t="inlineStr">
        <is>
          <t>DF-100070</t>
        </is>
      </c>
      <c r="B92" s="9" t="inlineStr">
        <is>
          <t>Engineering</t>
        </is>
      </c>
      <c r="C92" s="9" t="inlineStr">
        <is>
          <t>L1 - Junior</t>
        </is>
      </c>
      <c r="D92" s="10" t="n">
        <v>56731</v>
      </c>
      <c r="E92" s="11" t="n">
        <v>51.4</v>
      </c>
      <c r="F92" s="12">
        <f>E92/100</f>
        <v/>
      </c>
      <c r="G92" s="9" t="inlineStr">
        <is>
          <t>No</t>
        </is>
      </c>
      <c r="H92" s="13">
        <f>VLOOKUP(C92,Assumptions!$A$10:$B$15,2,FALSE)</f>
        <v/>
      </c>
      <c r="I92" s="14">
        <f>D92*H92</f>
        <v/>
      </c>
      <c r="J92" s="12">
        <f>1-(1-F92)^(Assumptions!$B$4/12)</f>
        <v/>
      </c>
      <c r="K92" s="14">
        <f>J92*I92</f>
        <v/>
      </c>
      <c r="L92" s="14">
        <f>IF(G92="Yes",(1-(1-F92*(1-Assumptions!$B$6))^(Assumptions!$B$4/12))*I92,K92)</f>
        <v/>
      </c>
    </row>
    <row r="93">
      <c r="A93" s="9" t="inlineStr">
        <is>
          <t>DF-100025</t>
        </is>
      </c>
      <c r="B93" s="9" t="inlineStr">
        <is>
          <t>Data &amp; Analytics</t>
        </is>
      </c>
      <c r="C93" s="9" t="inlineStr">
        <is>
          <t>L1 - Junior</t>
        </is>
      </c>
      <c r="D93" s="10" t="n">
        <v>50579</v>
      </c>
      <c r="E93" s="11" t="n">
        <v>51.2</v>
      </c>
      <c r="F93" s="12">
        <f>E93/100</f>
        <v/>
      </c>
      <c r="G93" s="9" t="inlineStr">
        <is>
          <t>No</t>
        </is>
      </c>
      <c r="H93" s="13">
        <f>VLOOKUP(C93,Assumptions!$A$10:$B$15,2,FALSE)</f>
        <v/>
      </c>
      <c r="I93" s="14">
        <f>D93*H93</f>
        <v/>
      </c>
      <c r="J93" s="12">
        <f>1-(1-F93)^(Assumptions!$B$4/12)</f>
        <v/>
      </c>
      <c r="K93" s="14">
        <f>J93*I93</f>
        <v/>
      </c>
      <c r="L93" s="14">
        <f>IF(G93="Yes",(1-(1-F93*(1-Assumptions!$B$6))^(Assumptions!$B$4/12))*I93,K93)</f>
        <v/>
      </c>
    </row>
    <row r="94">
      <c r="A94" s="9" t="inlineStr">
        <is>
          <t>DF-100165</t>
        </is>
      </c>
      <c r="B94" s="9" t="inlineStr">
        <is>
          <t>Data &amp; Analytics</t>
        </is>
      </c>
      <c r="C94" s="9" t="inlineStr">
        <is>
          <t>L2 - Mid</t>
        </is>
      </c>
      <c r="D94" s="10" t="n">
        <v>74505</v>
      </c>
      <c r="E94" s="11" t="n">
        <v>51.2</v>
      </c>
      <c r="F94" s="12">
        <f>E94/100</f>
        <v/>
      </c>
      <c r="G94" s="9" t="inlineStr">
        <is>
          <t>No</t>
        </is>
      </c>
      <c r="H94" s="13">
        <f>VLOOKUP(C94,Assumptions!$A$10:$B$15,2,FALSE)</f>
        <v/>
      </c>
      <c r="I94" s="14">
        <f>D94*H94</f>
        <v/>
      </c>
      <c r="J94" s="12">
        <f>1-(1-F94)^(Assumptions!$B$4/12)</f>
        <v/>
      </c>
      <c r="K94" s="14">
        <f>J94*I94</f>
        <v/>
      </c>
      <c r="L94" s="14">
        <f>IF(G94="Yes",(1-(1-F94*(1-Assumptions!$B$6))^(Assumptions!$B$4/12))*I94,K94)</f>
        <v/>
      </c>
    </row>
    <row r="95">
      <c r="A95" s="9" t="inlineStr">
        <is>
          <t>DF-100457</t>
        </is>
      </c>
      <c r="B95" s="9" t="inlineStr">
        <is>
          <t>Marketing</t>
        </is>
      </c>
      <c r="C95" s="9" t="inlineStr">
        <is>
          <t>L1 - Junior</t>
        </is>
      </c>
      <c r="D95" s="10" t="n">
        <v>42749</v>
      </c>
      <c r="E95" s="11" t="n">
        <v>51.2</v>
      </c>
      <c r="F95" s="12">
        <f>E95/100</f>
        <v/>
      </c>
      <c r="G95" s="9" t="inlineStr">
        <is>
          <t>No</t>
        </is>
      </c>
      <c r="H95" s="13">
        <f>VLOOKUP(C95,Assumptions!$A$10:$B$15,2,FALSE)</f>
        <v/>
      </c>
      <c r="I95" s="14">
        <f>D95*H95</f>
        <v/>
      </c>
      <c r="J95" s="12">
        <f>1-(1-F95)^(Assumptions!$B$4/12)</f>
        <v/>
      </c>
      <c r="K95" s="14">
        <f>J95*I95</f>
        <v/>
      </c>
      <c r="L95" s="14">
        <f>IF(G95="Yes",(1-(1-F95*(1-Assumptions!$B$6))^(Assumptions!$B$4/12))*I95,K95)</f>
        <v/>
      </c>
    </row>
    <row r="96">
      <c r="A96" s="9" t="inlineStr">
        <is>
          <t>DF-100615</t>
        </is>
      </c>
      <c r="B96" s="9" t="inlineStr">
        <is>
          <t>Sales</t>
        </is>
      </c>
      <c r="C96" s="9" t="inlineStr">
        <is>
          <t>L4 - Lead</t>
        </is>
      </c>
      <c r="D96" s="10" t="n">
        <v>94354</v>
      </c>
      <c r="E96" s="11" t="n">
        <v>50.9</v>
      </c>
      <c r="F96" s="12">
        <f>E96/100</f>
        <v/>
      </c>
      <c r="G96" s="9" t="inlineStr">
        <is>
          <t>No</t>
        </is>
      </c>
      <c r="H96" s="13">
        <f>VLOOKUP(C96,Assumptions!$A$10:$B$15,2,FALSE)</f>
        <v/>
      </c>
      <c r="I96" s="14">
        <f>D96*H96</f>
        <v/>
      </c>
      <c r="J96" s="12">
        <f>1-(1-F96)^(Assumptions!$B$4/12)</f>
        <v/>
      </c>
      <c r="K96" s="14">
        <f>J96*I96</f>
        <v/>
      </c>
      <c r="L96" s="14">
        <f>IF(G96="Yes",(1-(1-F96*(1-Assumptions!$B$6))^(Assumptions!$B$4/12))*I96,K96)</f>
        <v/>
      </c>
    </row>
    <row r="97">
      <c r="A97" s="9" t="inlineStr">
        <is>
          <t>DF-100605</t>
        </is>
      </c>
      <c r="B97" s="9" t="inlineStr">
        <is>
          <t>Support</t>
        </is>
      </c>
      <c r="C97" s="9" t="inlineStr">
        <is>
          <t>L2 - Mid</t>
        </is>
      </c>
      <c r="D97" s="10" t="n">
        <v>42917</v>
      </c>
      <c r="E97" s="11" t="n">
        <v>50.8</v>
      </c>
      <c r="F97" s="12">
        <f>E97/100</f>
        <v/>
      </c>
      <c r="G97" s="9" t="inlineStr">
        <is>
          <t>No</t>
        </is>
      </c>
      <c r="H97" s="13">
        <f>VLOOKUP(C97,Assumptions!$A$10:$B$15,2,FALSE)</f>
        <v/>
      </c>
      <c r="I97" s="14">
        <f>D97*H97</f>
        <v/>
      </c>
      <c r="J97" s="12">
        <f>1-(1-F97)^(Assumptions!$B$4/12)</f>
        <v/>
      </c>
      <c r="K97" s="14">
        <f>J97*I97</f>
        <v/>
      </c>
      <c r="L97" s="14">
        <f>IF(G97="Yes",(1-(1-F97*(1-Assumptions!$B$6))^(Assumptions!$B$4/12))*I97,K97)</f>
        <v/>
      </c>
    </row>
    <row r="98">
      <c r="A98" s="9" t="inlineStr">
        <is>
          <t>DF-100563</t>
        </is>
      </c>
      <c r="B98" s="9" t="inlineStr">
        <is>
          <t>Data &amp; Analytics</t>
        </is>
      </c>
      <c r="C98" s="9" t="inlineStr">
        <is>
          <t>L2 - Mid</t>
        </is>
      </c>
      <c r="D98" s="10" t="n">
        <v>69256</v>
      </c>
      <c r="E98" s="11" t="n">
        <v>50.5</v>
      </c>
      <c r="F98" s="12">
        <f>E98/100</f>
        <v/>
      </c>
      <c r="G98" s="9" t="inlineStr">
        <is>
          <t>No</t>
        </is>
      </c>
      <c r="H98" s="13">
        <f>VLOOKUP(C98,Assumptions!$A$10:$B$15,2,FALSE)</f>
        <v/>
      </c>
      <c r="I98" s="14">
        <f>D98*H98</f>
        <v/>
      </c>
      <c r="J98" s="12">
        <f>1-(1-F98)^(Assumptions!$B$4/12)</f>
        <v/>
      </c>
      <c r="K98" s="14">
        <f>J98*I98</f>
        <v/>
      </c>
      <c r="L98" s="14">
        <f>IF(G98="Yes",(1-(1-F98*(1-Assumptions!$B$6))^(Assumptions!$B$4/12))*I98,K98)</f>
        <v/>
      </c>
    </row>
    <row r="99">
      <c r="A99" s="9" t="inlineStr">
        <is>
          <t>DF-100012</t>
        </is>
      </c>
      <c r="B99" s="9" t="inlineStr">
        <is>
          <t>Support</t>
        </is>
      </c>
      <c r="C99" s="9" t="inlineStr">
        <is>
          <t>L1 - Junior</t>
        </is>
      </c>
      <c r="D99" s="10" t="n">
        <v>31823</v>
      </c>
      <c r="E99" s="11" t="n">
        <v>50.1</v>
      </c>
      <c r="F99" s="12">
        <f>E99/100</f>
        <v/>
      </c>
      <c r="G99" s="9" t="inlineStr">
        <is>
          <t>No</t>
        </is>
      </c>
      <c r="H99" s="13">
        <f>VLOOKUP(C99,Assumptions!$A$10:$B$15,2,FALSE)</f>
        <v/>
      </c>
      <c r="I99" s="14">
        <f>D99*H99</f>
        <v/>
      </c>
      <c r="J99" s="12">
        <f>1-(1-F99)^(Assumptions!$B$4/12)</f>
        <v/>
      </c>
      <c r="K99" s="14">
        <f>J99*I99</f>
        <v/>
      </c>
      <c r="L99" s="14">
        <f>IF(G99="Yes",(1-(1-F99*(1-Assumptions!$B$6))^(Assumptions!$B$4/12))*I99,K99)</f>
        <v/>
      </c>
    </row>
    <row r="100">
      <c r="A100" s="9" t="inlineStr">
        <is>
          <t>DF-100539</t>
        </is>
      </c>
      <c r="B100" s="9" t="inlineStr">
        <is>
          <t>Product</t>
        </is>
      </c>
      <c r="C100" s="9" t="inlineStr">
        <is>
          <t>L1 - Junior</t>
        </is>
      </c>
      <c r="D100" s="10" t="n">
        <v>46224</v>
      </c>
      <c r="E100" s="11" t="n">
        <v>50</v>
      </c>
      <c r="F100" s="12">
        <f>E100/100</f>
        <v/>
      </c>
      <c r="G100" s="9" t="inlineStr">
        <is>
          <t>No</t>
        </is>
      </c>
      <c r="H100" s="13">
        <f>VLOOKUP(C100,Assumptions!$A$10:$B$15,2,FALSE)</f>
        <v/>
      </c>
      <c r="I100" s="14">
        <f>D100*H100</f>
        <v/>
      </c>
      <c r="J100" s="12">
        <f>1-(1-F100)^(Assumptions!$B$4/12)</f>
        <v/>
      </c>
      <c r="K100" s="14">
        <f>J100*I100</f>
        <v/>
      </c>
      <c r="L100" s="14">
        <f>IF(G100="Yes",(1-(1-F100*(1-Assumptions!$B$6))^(Assumptions!$B$4/12))*I100,K100)</f>
        <v/>
      </c>
    </row>
    <row r="101">
      <c r="A101" s="9" t="inlineStr">
        <is>
          <t>DF-100013</t>
        </is>
      </c>
      <c r="B101" s="9" t="inlineStr">
        <is>
          <t>Data &amp; Analytics</t>
        </is>
      </c>
      <c r="C101" s="9" t="inlineStr">
        <is>
          <t>L2 - Mid</t>
        </is>
      </c>
      <c r="D101" s="10" t="n">
        <v>74318</v>
      </c>
      <c r="E101" s="11" t="n">
        <v>49.3</v>
      </c>
      <c r="F101" s="12">
        <f>E101/100</f>
        <v/>
      </c>
      <c r="G101" s="9" t="inlineStr">
        <is>
          <t>No</t>
        </is>
      </c>
      <c r="H101" s="13">
        <f>VLOOKUP(C101,Assumptions!$A$10:$B$15,2,FALSE)</f>
        <v/>
      </c>
      <c r="I101" s="14">
        <f>D101*H101</f>
        <v/>
      </c>
      <c r="J101" s="12">
        <f>1-(1-F101)^(Assumptions!$B$4/12)</f>
        <v/>
      </c>
      <c r="K101" s="14">
        <f>J101*I101</f>
        <v/>
      </c>
      <c r="L101" s="14">
        <f>IF(G101="Yes",(1-(1-F101*(1-Assumptions!$B$6))^(Assumptions!$B$4/12))*I101,K101)</f>
        <v/>
      </c>
    </row>
    <row r="102">
      <c r="A102" s="9" t="inlineStr">
        <is>
          <t>DF-100115</t>
        </is>
      </c>
      <c r="B102" s="9" t="inlineStr">
        <is>
          <t>Sales</t>
        </is>
      </c>
      <c r="C102" s="9" t="inlineStr">
        <is>
          <t>L1 - Junior</t>
        </is>
      </c>
      <c r="D102" s="10" t="n">
        <v>57103</v>
      </c>
      <c r="E102" s="11" t="n">
        <v>49.1</v>
      </c>
      <c r="F102" s="12">
        <f>E102/100</f>
        <v/>
      </c>
      <c r="G102" s="9" t="inlineStr">
        <is>
          <t>No</t>
        </is>
      </c>
      <c r="H102" s="13">
        <f>VLOOKUP(C102,Assumptions!$A$10:$B$15,2,FALSE)</f>
        <v/>
      </c>
      <c r="I102" s="14">
        <f>D102*H102</f>
        <v/>
      </c>
      <c r="J102" s="12">
        <f>1-(1-F102)^(Assumptions!$B$4/12)</f>
        <v/>
      </c>
      <c r="K102" s="14">
        <f>J102*I102</f>
        <v/>
      </c>
      <c r="L102" s="14">
        <f>IF(G102="Yes",(1-(1-F102*(1-Assumptions!$B$6))^(Assumptions!$B$4/12))*I102,K102)</f>
        <v/>
      </c>
    </row>
    <row r="103">
      <c r="A103" s="9" t="inlineStr">
        <is>
          <t>DF-100034</t>
        </is>
      </c>
      <c r="B103" s="9" t="inlineStr">
        <is>
          <t>Sales</t>
        </is>
      </c>
      <c r="C103" s="9" t="inlineStr">
        <is>
          <t>L6 - Director</t>
        </is>
      </c>
      <c r="D103" s="10" t="n">
        <v>187070</v>
      </c>
      <c r="E103" s="11" t="n">
        <v>49.1</v>
      </c>
      <c r="F103" s="12">
        <f>E103/100</f>
        <v/>
      </c>
      <c r="G103" s="9" t="inlineStr">
        <is>
          <t>No</t>
        </is>
      </c>
      <c r="H103" s="13">
        <f>VLOOKUP(C103,Assumptions!$A$10:$B$15,2,FALSE)</f>
        <v/>
      </c>
      <c r="I103" s="14">
        <f>D103*H103</f>
        <v/>
      </c>
      <c r="J103" s="12">
        <f>1-(1-F103)^(Assumptions!$B$4/12)</f>
        <v/>
      </c>
      <c r="K103" s="14">
        <f>J103*I103</f>
        <v/>
      </c>
      <c r="L103" s="14">
        <f>IF(G103="Yes",(1-(1-F103*(1-Assumptions!$B$6))^(Assumptions!$B$4/12))*I103,K103)</f>
        <v/>
      </c>
    </row>
    <row r="104">
      <c r="A104" s="9" t="inlineStr">
        <is>
          <t>DF-100446</t>
        </is>
      </c>
      <c r="B104" s="9" t="inlineStr">
        <is>
          <t>Product</t>
        </is>
      </c>
      <c r="C104" s="9" t="inlineStr">
        <is>
          <t>L2 - Mid</t>
        </is>
      </c>
      <c r="D104" s="10" t="n">
        <v>71164</v>
      </c>
      <c r="E104" s="11" t="n">
        <v>49</v>
      </c>
      <c r="F104" s="12">
        <f>E104/100</f>
        <v/>
      </c>
      <c r="G104" s="9" t="inlineStr">
        <is>
          <t>No</t>
        </is>
      </c>
      <c r="H104" s="13">
        <f>VLOOKUP(C104,Assumptions!$A$10:$B$15,2,FALSE)</f>
        <v/>
      </c>
      <c r="I104" s="14">
        <f>D104*H104</f>
        <v/>
      </c>
      <c r="J104" s="12">
        <f>1-(1-F104)^(Assumptions!$B$4/12)</f>
        <v/>
      </c>
      <c r="K104" s="14">
        <f>J104*I104</f>
        <v/>
      </c>
      <c r="L104" s="14">
        <f>IF(G104="Yes",(1-(1-F104*(1-Assumptions!$B$6))^(Assumptions!$B$4/12))*I104,K104)</f>
        <v/>
      </c>
    </row>
    <row r="105">
      <c r="A105" s="9" t="inlineStr">
        <is>
          <t>DF-100513</t>
        </is>
      </c>
      <c r="B105" s="9" t="inlineStr">
        <is>
          <t>Finance</t>
        </is>
      </c>
      <c r="C105" s="9" t="inlineStr">
        <is>
          <t>L4 - Lead</t>
        </is>
      </c>
      <c r="D105" s="10" t="n">
        <v>101861</v>
      </c>
      <c r="E105" s="11" t="n">
        <v>48.8</v>
      </c>
      <c r="F105" s="12">
        <f>E105/100</f>
        <v/>
      </c>
      <c r="G105" s="9" t="inlineStr">
        <is>
          <t>No</t>
        </is>
      </c>
      <c r="H105" s="13">
        <f>VLOOKUP(C105,Assumptions!$A$10:$B$15,2,FALSE)</f>
        <v/>
      </c>
      <c r="I105" s="14">
        <f>D105*H105</f>
        <v/>
      </c>
      <c r="J105" s="12">
        <f>1-(1-F105)^(Assumptions!$B$4/12)</f>
        <v/>
      </c>
      <c r="K105" s="14">
        <f>J105*I105</f>
        <v/>
      </c>
      <c r="L105" s="14">
        <f>IF(G105="Yes",(1-(1-F105*(1-Assumptions!$B$6))^(Assumptions!$B$4/12))*I105,K105)</f>
        <v/>
      </c>
    </row>
    <row r="106">
      <c r="A106" s="9" t="inlineStr">
        <is>
          <t>DF-100634</t>
        </is>
      </c>
      <c r="B106" s="9" t="inlineStr">
        <is>
          <t>Data &amp; Analytics</t>
        </is>
      </c>
      <c r="C106" s="9" t="inlineStr">
        <is>
          <t>L2 - Mid</t>
        </is>
      </c>
      <c r="D106" s="10" t="n">
        <v>74137</v>
      </c>
      <c r="E106" s="11" t="n">
        <v>48.7</v>
      </c>
      <c r="F106" s="12">
        <f>E106/100</f>
        <v/>
      </c>
      <c r="G106" s="9" t="inlineStr">
        <is>
          <t>No</t>
        </is>
      </c>
      <c r="H106" s="13">
        <f>VLOOKUP(C106,Assumptions!$A$10:$B$15,2,FALSE)</f>
        <v/>
      </c>
      <c r="I106" s="14">
        <f>D106*H106</f>
        <v/>
      </c>
      <c r="J106" s="12">
        <f>1-(1-F106)^(Assumptions!$B$4/12)</f>
        <v/>
      </c>
      <c r="K106" s="14">
        <f>J106*I106</f>
        <v/>
      </c>
      <c r="L106" s="14">
        <f>IF(G106="Yes",(1-(1-F106*(1-Assumptions!$B$6))^(Assumptions!$B$4/12))*I106,K106)</f>
        <v/>
      </c>
    </row>
    <row r="107">
      <c r="A107" s="9" t="inlineStr">
        <is>
          <t>DF-100460</t>
        </is>
      </c>
      <c r="B107" s="9" t="inlineStr">
        <is>
          <t>Engineering</t>
        </is>
      </c>
      <c r="C107" s="9" t="inlineStr">
        <is>
          <t>L2 - Mid</t>
        </is>
      </c>
      <c r="D107" s="10" t="n">
        <v>88322</v>
      </c>
      <c r="E107" s="11" t="n">
        <v>48.6</v>
      </c>
      <c r="F107" s="12">
        <f>E107/100</f>
        <v/>
      </c>
      <c r="G107" s="9" t="inlineStr">
        <is>
          <t>No</t>
        </is>
      </c>
      <c r="H107" s="13">
        <f>VLOOKUP(C107,Assumptions!$A$10:$B$15,2,FALSE)</f>
        <v/>
      </c>
      <c r="I107" s="14">
        <f>D107*H107</f>
        <v/>
      </c>
      <c r="J107" s="12">
        <f>1-(1-F107)^(Assumptions!$B$4/12)</f>
        <v/>
      </c>
      <c r="K107" s="14">
        <f>J107*I107</f>
        <v/>
      </c>
      <c r="L107" s="14">
        <f>IF(G107="Yes",(1-(1-F107*(1-Assumptions!$B$6))^(Assumptions!$B$4/12))*I107,K107)</f>
        <v/>
      </c>
    </row>
    <row r="108">
      <c r="A108" s="9" t="inlineStr">
        <is>
          <t>DF-100370</t>
        </is>
      </c>
      <c r="B108" s="9" t="inlineStr">
        <is>
          <t>Sales</t>
        </is>
      </c>
      <c r="C108" s="9" t="inlineStr">
        <is>
          <t>L2 - Mid</t>
        </is>
      </c>
      <c r="D108" s="10" t="n">
        <v>69184</v>
      </c>
      <c r="E108" s="11" t="n">
        <v>48.6</v>
      </c>
      <c r="F108" s="12">
        <f>E108/100</f>
        <v/>
      </c>
      <c r="G108" s="9" t="inlineStr">
        <is>
          <t>No</t>
        </is>
      </c>
      <c r="H108" s="13">
        <f>VLOOKUP(C108,Assumptions!$A$10:$B$15,2,FALSE)</f>
        <v/>
      </c>
      <c r="I108" s="14">
        <f>D108*H108</f>
        <v/>
      </c>
      <c r="J108" s="12">
        <f>1-(1-F108)^(Assumptions!$B$4/12)</f>
        <v/>
      </c>
      <c r="K108" s="14">
        <f>J108*I108</f>
        <v/>
      </c>
      <c r="L108" s="14">
        <f>IF(G108="Yes",(1-(1-F108*(1-Assumptions!$B$6))^(Assumptions!$B$4/12))*I108,K108)</f>
        <v/>
      </c>
    </row>
    <row r="109">
      <c r="A109" s="9" t="inlineStr">
        <is>
          <t>DF-100419</t>
        </is>
      </c>
      <c r="B109" s="9" t="inlineStr">
        <is>
          <t>Marketing</t>
        </is>
      </c>
      <c r="C109" s="9" t="inlineStr">
        <is>
          <t>L4 - Lead</t>
        </is>
      </c>
      <c r="D109" s="10" t="n">
        <v>109726</v>
      </c>
      <c r="E109" s="11" t="n">
        <v>48.4</v>
      </c>
      <c r="F109" s="12">
        <f>E109/100</f>
        <v/>
      </c>
      <c r="G109" s="9" t="inlineStr">
        <is>
          <t>No</t>
        </is>
      </c>
      <c r="H109" s="13">
        <f>VLOOKUP(C109,Assumptions!$A$10:$B$15,2,FALSE)</f>
        <v/>
      </c>
      <c r="I109" s="14">
        <f>D109*H109</f>
        <v/>
      </c>
      <c r="J109" s="12">
        <f>1-(1-F109)^(Assumptions!$B$4/12)</f>
        <v/>
      </c>
      <c r="K109" s="14">
        <f>J109*I109</f>
        <v/>
      </c>
      <c r="L109" s="14">
        <f>IF(G109="Yes",(1-(1-F109*(1-Assumptions!$B$6))^(Assumptions!$B$4/12))*I109,K109)</f>
        <v/>
      </c>
    </row>
    <row r="110">
      <c r="A110" s="9" t="inlineStr">
        <is>
          <t>DF-100598</t>
        </is>
      </c>
      <c r="B110" s="9" t="inlineStr">
        <is>
          <t>Customer Success</t>
        </is>
      </c>
      <c r="C110" s="9" t="inlineStr">
        <is>
          <t>L1 - Junior</t>
        </is>
      </c>
      <c r="D110" s="10" t="n">
        <v>42188</v>
      </c>
      <c r="E110" s="11" t="n">
        <v>48.2</v>
      </c>
      <c r="F110" s="12">
        <f>E110/100</f>
        <v/>
      </c>
      <c r="G110" s="9" t="inlineStr">
        <is>
          <t>No</t>
        </is>
      </c>
      <c r="H110" s="13">
        <f>VLOOKUP(C110,Assumptions!$A$10:$B$15,2,FALSE)</f>
        <v/>
      </c>
      <c r="I110" s="14">
        <f>D110*H110</f>
        <v/>
      </c>
      <c r="J110" s="12">
        <f>1-(1-F110)^(Assumptions!$B$4/12)</f>
        <v/>
      </c>
      <c r="K110" s="14">
        <f>J110*I110</f>
        <v/>
      </c>
      <c r="L110" s="14">
        <f>IF(G110="Yes",(1-(1-F110*(1-Assumptions!$B$6))^(Assumptions!$B$4/12))*I110,K110)</f>
        <v/>
      </c>
    </row>
    <row r="111">
      <c r="A111" s="9" t="inlineStr">
        <is>
          <t>DF-100448</t>
        </is>
      </c>
      <c r="B111" s="9" t="inlineStr">
        <is>
          <t>Support</t>
        </is>
      </c>
      <c r="C111" s="9" t="inlineStr">
        <is>
          <t>L2 - Mid</t>
        </is>
      </c>
      <c r="D111" s="10" t="n">
        <v>41788</v>
      </c>
      <c r="E111" s="11" t="n">
        <v>47.9</v>
      </c>
      <c r="F111" s="12">
        <f>E111/100</f>
        <v/>
      </c>
      <c r="G111" s="9" t="inlineStr">
        <is>
          <t>No</t>
        </is>
      </c>
      <c r="H111" s="13">
        <f>VLOOKUP(C111,Assumptions!$A$10:$B$15,2,FALSE)</f>
        <v/>
      </c>
      <c r="I111" s="14">
        <f>D111*H111</f>
        <v/>
      </c>
      <c r="J111" s="12">
        <f>1-(1-F111)^(Assumptions!$B$4/12)</f>
        <v/>
      </c>
      <c r="K111" s="14">
        <f>J111*I111</f>
        <v/>
      </c>
      <c r="L111" s="14">
        <f>IF(G111="Yes",(1-(1-F111*(1-Assumptions!$B$6))^(Assumptions!$B$4/12))*I111,K111)</f>
        <v/>
      </c>
    </row>
    <row r="112">
      <c r="A112" s="9" t="inlineStr">
        <is>
          <t>DF-100574</t>
        </is>
      </c>
      <c r="B112" s="9" t="inlineStr">
        <is>
          <t>Engineering</t>
        </is>
      </c>
      <c r="C112" s="9" t="inlineStr">
        <is>
          <t>L1 - Junior</t>
        </is>
      </c>
      <c r="D112" s="10" t="n">
        <v>60868</v>
      </c>
      <c r="E112" s="11" t="n">
        <v>47.8</v>
      </c>
      <c r="F112" s="12">
        <f>E112/100</f>
        <v/>
      </c>
      <c r="G112" s="9" t="inlineStr">
        <is>
          <t>No</t>
        </is>
      </c>
      <c r="H112" s="13">
        <f>VLOOKUP(C112,Assumptions!$A$10:$B$15,2,FALSE)</f>
        <v/>
      </c>
      <c r="I112" s="14">
        <f>D112*H112</f>
        <v/>
      </c>
      <c r="J112" s="12">
        <f>1-(1-F112)^(Assumptions!$B$4/12)</f>
        <v/>
      </c>
      <c r="K112" s="14">
        <f>J112*I112</f>
        <v/>
      </c>
      <c r="L112" s="14">
        <f>IF(G112="Yes",(1-(1-F112*(1-Assumptions!$B$6))^(Assumptions!$B$4/12))*I112,K112)</f>
        <v/>
      </c>
    </row>
    <row r="113">
      <c r="A113" s="9" t="inlineStr">
        <is>
          <t>DF-100432</t>
        </is>
      </c>
      <c r="B113" s="9" t="inlineStr">
        <is>
          <t>People/HR</t>
        </is>
      </c>
      <c r="C113" s="9" t="inlineStr">
        <is>
          <t>L2 - Mid</t>
        </is>
      </c>
      <c r="D113" s="10" t="n">
        <v>60079</v>
      </c>
      <c r="E113" s="11" t="n">
        <v>47.6</v>
      </c>
      <c r="F113" s="12">
        <f>E113/100</f>
        <v/>
      </c>
      <c r="G113" s="9" t="inlineStr">
        <is>
          <t>No</t>
        </is>
      </c>
      <c r="H113" s="13">
        <f>VLOOKUP(C113,Assumptions!$A$10:$B$15,2,FALSE)</f>
        <v/>
      </c>
      <c r="I113" s="14">
        <f>D113*H113</f>
        <v/>
      </c>
      <c r="J113" s="12">
        <f>1-(1-F113)^(Assumptions!$B$4/12)</f>
        <v/>
      </c>
      <c r="K113" s="14">
        <f>J113*I113</f>
        <v/>
      </c>
      <c r="L113" s="14">
        <f>IF(G113="Yes",(1-(1-F113*(1-Assumptions!$B$6))^(Assumptions!$B$4/12))*I113,K113)</f>
        <v/>
      </c>
    </row>
    <row r="114">
      <c r="A114" s="9" t="inlineStr">
        <is>
          <t>DF-100579</t>
        </is>
      </c>
      <c r="B114" s="9" t="inlineStr">
        <is>
          <t>Marketing</t>
        </is>
      </c>
      <c r="C114" s="9" t="inlineStr">
        <is>
          <t>L6 - Director</t>
        </is>
      </c>
      <c r="D114" s="10" t="n">
        <v>122269</v>
      </c>
      <c r="E114" s="11" t="n">
        <v>47.4</v>
      </c>
      <c r="F114" s="12">
        <f>E114/100</f>
        <v/>
      </c>
      <c r="G114" s="9" t="inlineStr">
        <is>
          <t>No</t>
        </is>
      </c>
      <c r="H114" s="13">
        <f>VLOOKUP(C114,Assumptions!$A$10:$B$15,2,FALSE)</f>
        <v/>
      </c>
      <c r="I114" s="14">
        <f>D114*H114</f>
        <v/>
      </c>
      <c r="J114" s="12">
        <f>1-(1-F114)^(Assumptions!$B$4/12)</f>
        <v/>
      </c>
      <c r="K114" s="14">
        <f>J114*I114</f>
        <v/>
      </c>
      <c r="L114" s="14">
        <f>IF(G114="Yes",(1-(1-F114*(1-Assumptions!$B$6))^(Assumptions!$B$4/12))*I114,K114)</f>
        <v/>
      </c>
    </row>
    <row r="115">
      <c r="A115" s="9" t="inlineStr">
        <is>
          <t>DF-100479</t>
        </is>
      </c>
      <c r="B115" s="9" t="inlineStr">
        <is>
          <t>Product</t>
        </is>
      </c>
      <c r="C115" s="9" t="inlineStr">
        <is>
          <t>L5 - Manager</t>
        </is>
      </c>
      <c r="D115" s="10" t="n">
        <v>120929</v>
      </c>
      <c r="E115" s="11" t="n">
        <v>47.2</v>
      </c>
      <c r="F115" s="12">
        <f>E115/100</f>
        <v/>
      </c>
      <c r="G115" s="9" t="inlineStr">
        <is>
          <t>No</t>
        </is>
      </c>
      <c r="H115" s="13">
        <f>VLOOKUP(C115,Assumptions!$A$10:$B$15,2,FALSE)</f>
        <v/>
      </c>
      <c r="I115" s="14">
        <f>D115*H115</f>
        <v/>
      </c>
      <c r="J115" s="12">
        <f>1-(1-F115)^(Assumptions!$B$4/12)</f>
        <v/>
      </c>
      <c r="K115" s="14">
        <f>J115*I115</f>
        <v/>
      </c>
      <c r="L115" s="14">
        <f>IF(G115="Yes",(1-(1-F115*(1-Assumptions!$B$6))^(Assumptions!$B$4/12))*I115,K115)</f>
        <v/>
      </c>
    </row>
    <row r="116">
      <c r="A116" s="9" t="inlineStr">
        <is>
          <t>DF-100571</t>
        </is>
      </c>
      <c r="B116" s="9" t="inlineStr">
        <is>
          <t>Sales</t>
        </is>
      </c>
      <c r="C116" s="9" t="inlineStr">
        <is>
          <t>L1 - Junior</t>
        </is>
      </c>
      <c r="D116" s="10" t="n">
        <v>49319</v>
      </c>
      <c r="E116" s="11" t="n">
        <v>47.1</v>
      </c>
      <c r="F116" s="12">
        <f>E116/100</f>
        <v/>
      </c>
      <c r="G116" s="9" t="inlineStr">
        <is>
          <t>No</t>
        </is>
      </c>
      <c r="H116" s="13">
        <f>VLOOKUP(C116,Assumptions!$A$10:$B$15,2,FALSE)</f>
        <v/>
      </c>
      <c r="I116" s="14">
        <f>D116*H116</f>
        <v/>
      </c>
      <c r="J116" s="12">
        <f>1-(1-F116)^(Assumptions!$B$4/12)</f>
        <v/>
      </c>
      <c r="K116" s="14">
        <f>J116*I116</f>
        <v/>
      </c>
      <c r="L116" s="14">
        <f>IF(G116="Yes",(1-(1-F116*(1-Assumptions!$B$6))^(Assumptions!$B$4/12))*I116,K116)</f>
        <v/>
      </c>
    </row>
    <row r="117">
      <c r="A117" s="9" t="inlineStr">
        <is>
          <t>DF-100116</t>
        </is>
      </c>
      <c r="B117" s="9" t="inlineStr">
        <is>
          <t>Support</t>
        </is>
      </c>
      <c r="C117" s="9" t="inlineStr">
        <is>
          <t>L3 - Senior</t>
        </is>
      </c>
      <c r="D117" s="10" t="n">
        <v>73188</v>
      </c>
      <c r="E117" s="11" t="n">
        <v>47</v>
      </c>
      <c r="F117" s="12">
        <f>E117/100</f>
        <v/>
      </c>
      <c r="G117" s="9" t="inlineStr">
        <is>
          <t>No</t>
        </is>
      </c>
      <c r="H117" s="13">
        <f>VLOOKUP(C117,Assumptions!$A$10:$B$15,2,FALSE)</f>
        <v/>
      </c>
      <c r="I117" s="14">
        <f>D117*H117</f>
        <v/>
      </c>
      <c r="J117" s="12">
        <f>1-(1-F117)^(Assumptions!$B$4/12)</f>
        <v/>
      </c>
      <c r="K117" s="14">
        <f>J117*I117</f>
        <v/>
      </c>
      <c r="L117" s="14">
        <f>IF(G117="Yes",(1-(1-F117*(1-Assumptions!$B$6))^(Assumptions!$B$4/12))*I117,K117)</f>
        <v/>
      </c>
    </row>
    <row r="118">
      <c r="A118" s="9" t="inlineStr">
        <is>
          <t>DF-100347</t>
        </is>
      </c>
      <c r="B118" s="9" t="inlineStr">
        <is>
          <t>Operations</t>
        </is>
      </c>
      <c r="C118" s="9" t="inlineStr">
        <is>
          <t>L1 - Junior</t>
        </is>
      </c>
      <c r="D118" s="10" t="n">
        <v>43687</v>
      </c>
      <c r="E118" s="11" t="n">
        <v>46.9</v>
      </c>
      <c r="F118" s="12">
        <f>E118/100</f>
        <v/>
      </c>
      <c r="G118" s="9" t="inlineStr">
        <is>
          <t>No</t>
        </is>
      </c>
      <c r="H118" s="13">
        <f>VLOOKUP(C118,Assumptions!$A$10:$B$15,2,FALSE)</f>
        <v/>
      </c>
      <c r="I118" s="14">
        <f>D118*H118</f>
        <v/>
      </c>
      <c r="J118" s="12">
        <f>1-(1-F118)^(Assumptions!$B$4/12)</f>
        <v/>
      </c>
      <c r="K118" s="14">
        <f>J118*I118</f>
        <v/>
      </c>
      <c r="L118" s="14">
        <f>IF(G118="Yes",(1-(1-F118*(1-Assumptions!$B$6))^(Assumptions!$B$4/12))*I118,K118)</f>
        <v/>
      </c>
    </row>
    <row r="119">
      <c r="A119" s="9" t="inlineStr">
        <is>
          <t>DF-100249</t>
        </is>
      </c>
      <c r="B119" s="9" t="inlineStr">
        <is>
          <t>Operations</t>
        </is>
      </c>
      <c r="C119" s="9" t="inlineStr">
        <is>
          <t>L2 - Mid</t>
        </is>
      </c>
      <c r="D119" s="10" t="n">
        <v>57882</v>
      </c>
      <c r="E119" s="11" t="n">
        <v>46.9</v>
      </c>
      <c r="F119" s="12">
        <f>E119/100</f>
        <v/>
      </c>
      <c r="G119" s="9" t="inlineStr">
        <is>
          <t>No</t>
        </is>
      </c>
      <c r="H119" s="13">
        <f>VLOOKUP(C119,Assumptions!$A$10:$B$15,2,FALSE)</f>
        <v/>
      </c>
      <c r="I119" s="14">
        <f>D119*H119</f>
        <v/>
      </c>
      <c r="J119" s="12">
        <f>1-(1-F119)^(Assumptions!$B$4/12)</f>
        <v/>
      </c>
      <c r="K119" s="14">
        <f>J119*I119</f>
        <v/>
      </c>
      <c r="L119" s="14">
        <f>IF(G119="Yes",(1-(1-F119*(1-Assumptions!$B$6))^(Assumptions!$B$4/12))*I119,K119)</f>
        <v/>
      </c>
    </row>
    <row r="120">
      <c r="A120" s="9" t="inlineStr">
        <is>
          <t>DF-100484</t>
        </is>
      </c>
      <c r="B120" s="9" t="inlineStr">
        <is>
          <t>Product</t>
        </is>
      </c>
      <c r="C120" s="9" t="inlineStr">
        <is>
          <t>L2 - Mid</t>
        </is>
      </c>
      <c r="D120" s="10" t="n">
        <v>75432</v>
      </c>
      <c r="E120" s="11" t="n">
        <v>46.9</v>
      </c>
      <c r="F120" s="12">
        <f>E120/100</f>
        <v/>
      </c>
      <c r="G120" s="9" t="inlineStr">
        <is>
          <t>No</t>
        </is>
      </c>
      <c r="H120" s="13">
        <f>VLOOKUP(C120,Assumptions!$A$10:$B$15,2,FALSE)</f>
        <v/>
      </c>
      <c r="I120" s="14">
        <f>D120*H120</f>
        <v/>
      </c>
      <c r="J120" s="12">
        <f>1-(1-F120)^(Assumptions!$B$4/12)</f>
        <v/>
      </c>
      <c r="K120" s="14">
        <f>J120*I120</f>
        <v/>
      </c>
      <c r="L120" s="14">
        <f>IF(G120="Yes",(1-(1-F120*(1-Assumptions!$B$6))^(Assumptions!$B$4/12))*I120,K120)</f>
        <v/>
      </c>
    </row>
    <row r="121">
      <c r="A121" s="9" t="inlineStr">
        <is>
          <t>DF-100531</t>
        </is>
      </c>
      <c r="B121" s="9" t="inlineStr">
        <is>
          <t>Product</t>
        </is>
      </c>
      <c r="C121" s="9" t="inlineStr">
        <is>
          <t>L4 - Lead</t>
        </is>
      </c>
      <c r="D121" s="10" t="n">
        <v>132721</v>
      </c>
      <c r="E121" s="11" t="n">
        <v>46.8</v>
      </c>
      <c r="F121" s="12">
        <f>E121/100</f>
        <v/>
      </c>
      <c r="G121" s="9" t="inlineStr">
        <is>
          <t>No</t>
        </is>
      </c>
      <c r="H121" s="13">
        <f>VLOOKUP(C121,Assumptions!$A$10:$B$15,2,FALSE)</f>
        <v/>
      </c>
      <c r="I121" s="14">
        <f>D121*H121</f>
        <v/>
      </c>
      <c r="J121" s="12">
        <f>1-(1-F121)^(Assumptions!$B$4/12)</f>
        <v/>
      </c>
      <c r="K121" s="14">
        <f>J121*I121</f>
        <v/>
      </c>
      <c r="L121" s="14">
        <f>IF(G121="Yes",(1-(1-F121*(1-Assumptions!$B$6))^(Assumptions!$B$4/12))*I121,K121)</f>
        <v/>
      </c>
    </row>
    <row r="122">
      <c r="A122" s="9" t="inlineStr">
        <is>
          <t>DF-100159</t>
        </is>
      </c>
      <c r="B122" s="9" t="inlineStr">
        <is>
          <t>Marketing</t>
        </is>
      </c>
      <c r="C122" s="9" t="inlineStr">
        <is>
          <t>L2 - Mid</t>
        </is>
      </c>
      <c r="D122" s="10" t="n">
        <v>60771</v>
      </c>
      <c r="E122" s="11" t="n">
        <v>46.4</v>
      </c>
      <c r="F122" s="12">
        <f>E122/100</f>
        <v/>
      </c>
      <c r="G122" s="9" t="inlineStr">
        <is>
          <t>No</t>
        </is>
      </c>
      <c r="H122" s="13">
        <f>VLOOKUP(C122,Assumptions!$A$10:$B$15,2,FALSE)</f>
        <v/>
      </c>
      <c r="I122" s="14">
        <f>D122*H122</f>
        <v/>
      </c>
      <c r="J122" s="12">
        <f>1-(1-F122)^(Assumptions!$B$4/12)</f>
        <v/>
      </c>
      <c r="K122" s="14">
        <f>J122*I122</f>
        <v/>
      </c>
      <c r="L122" s="14">
        <f>IF(G122="Yes",(1-(1-F122*(1-Assumptions!$B$6))^(Assumptions!$B$4/12))*I122,K122)</f>
        <v/>
      </c>
    </row>
    <row r="123">
      <c r="A123" s="9" t="inlineStr">
        <is>
          <t>DF-100263</t>
        </is>
      </c>
      <c r="B123" s="9" t="inlineStr">
        <is>
          <t>Product</t>
        </is>
      </c>
      <c r="C123" s="9" t="inlineStr">
        <is>
          <t>L1 - Junior</t>
        </is>
      </c>
      <c r="D123" s="10" t="n">
        <v>53063</v>
      </c>
      <c r="E123" s="11" t="n">
        <v>46.3</v>
      </c>
      <c r="F123" s="12">
        <f>E123/100</f>
        <v/>
      </c>
      <c r="G123" s="9" t="inlineStr">
        <is>
          <t>No</t>
        </is>
      </c>
      <c r="H123" s="13">
        <f>VLOOKUP(C123,Assumptions!$A$10:$B$15,2,FALSE)</f>
        <v/>
      </c>
      <c r="I123" s="14">
        <f>D123*H123</f>
        <v/>
      </c>
      <c r="J123" s="12">
        <f>1-(1-F123)^(Assumptions!$B$4/12)</f>
        <v/>
      </c>
      <c r="K123" s="14">
        <f>J123*I123</f>
        <v/>
      </c>
      <c r="L123" s="14">
        <f>IF(G123="Yes",(1-(1-F123*(1-Assumptions!$B$6))^(Assumptions!$B$4/12))*I123,K123)</f>
        <v/>
      </c>
    </row>
    <row r="124">
      <c r="A124" s="9" t="inlineStr">
        <is>
          <t>DF-100062</t>
        </is>
      </c>
      <c r="B124" s="9" t="inlineStr">
        <is>
          <t>People/HR</t>
        </is>
      </c>
      <c r="C124" s="9" t="inlineStr">
        <is>
          <t>L2 - Mid</t>
        </is>
      </c>
      <c r="D124" s="10" t="n">
        <v>57755</v>
      </c>
      <c r="E124" s="11" t="n">
        <v>46.1</v>
      </c>
      <c r="F124" s="12">
        <f>E124/100</f>
        <v/>
      </c>
      <c r="G124" s="9" t="inlineStr">
        <is>
          <t>No</t>
        </is>
      </c>
      <c r="H124" s="13">
        <f>VLOOKUP(C124,Assumptions!$A$10:$B$15,2,FALSE)</f>
        <v/>
      </c>
      <c r="I124" s="14">
        <f>D124*H124</f>
        <v/>
      </c>
      <c r="J124" s="12">
        <f>1-(1-F124)^(Assumptions!$B$4/12)</f>
        <v/>
      </c>
      <c r="K124" s="14">
        <f>J124*I124</f>
        <v/>
      </c>
      <c r="L124" s="14">
        <f>IF(G124="Yes",(1-(1-F124*(1-Assumptions!$B$6))^(Assumptions!$B$4/12))*I124,K124)</f>
        <v/>
      </c>
    </row>
    <row r="125">
      <c r="A125" s="9" t="inlineStr">
        <is>
          <t>DF-100391</t>
        </is>
      </c>
      <c r="B125" s="9" t="inlineStr">
        <is>
          <t>Data &amp; Analytics</t>
        </is>
      </c>
      <c r="C125" s="9" t="inlineStr">
        <is>
          <t>L2 - Mid</t>
        </is>
      </c>
      <c r="D125" s="10" t="n">
        <v>86738</v>
      </c>
      <c r="E125" s="11" t="n">
        <v>45.3</v>
      </c>
      <c r="F125" s="12">
        <f>E125/100</f>
        <v/>
      </c>
      <c r="G125" s="9" t="inlineStr">
        <is>
          <t>No</t>
        </is>
      </c>
      <c r="H125" s="13">
        <f>VLOOKUP(C125,Assumptions!$A$10:$B$15,2,FALSE)</f>
        <v/>
      </c>
      <c r="I125" s="14">
        <f>D125*H125</f>
        <v/>
      </c>
      <c r="J125" s="12">
        <f>1-(1-F125)^(Assumptions!$B$4/12)</f>
        <v/>
      </c>
      <c r="K125" s="14">
        <f>J125*I125</f>
        <v/>
      </c>
      <c r="L125" s="14">
        <f>IF(G125="Yes",(1-(1-F125*(1-Assumptions!$B$6))^(Assumptions!$B$4/12))*I125,K125)</f>
        <v/>
      </c>
    </row>
    <row r="126">
      <c r="A126" s="9" t="inlineStr">
        <is>
          <t>DF-100341</t>
        </is>
      </c>
      <c r="B126" s="9" t="inlineStr">
        <is>
          <t>Support</t>
        </is>
      </c>
      <c r="C126" s="9" t="inlineStr">
        <is>
          <t>L2 - Mid</t>
        </is>
      </c>
      <c r="D126" s="10" t="n">
        <v>53276</v>
      </c>
      <c r="E126" s="11" t="n">
        <v>45.2</v>
      </c>
      <c r="F126" s="12">
        <f>E126/100</f>
        <v/>
      </c>
      <c r="G126" s="9" t="inlineStr">
        <is>
          <t>No</t>
        </is>
      </c>
      <c r="H126" s="13">
        <f>VLOOKUP(C126,Assumptions!$A$10:$B$15,2,FALSE)</f>
        <v/>
      </c>
      <c r="I126" s="14">
        <f>D126*H126</f>
        <v/>
      </c>
      <c r="J126" s="12">
        <f>1-(1-F126)^(Assumptions!$B$4/12)</f>
        <v/>
      </c>
      <c r="K126" s="14">
        <f>J126*I126</f>
        <v/>
      </c>
      <c r="L126" s="14">
        <f>IF(G126="Yes",(1-(1-F126*(1-Assumptions!$B$6))^(Assumptions!$B$4/12))*I126,K126)</f>
        <v/>
      </c>
    </row>
    <row r="127">
      <c r="A127" s="9" t="inlineStr">
        <is>
          <t>DF-100303</t>
        </is>
      </c>
      <c r="B127" s="9" t="inlineStr">
        <is>
          <t>Finance</t>
        </is>
      </c>
      <c r="C127" s="9" t="inlineStr">
        <is>
          <t>L2 - Mid</t>
        </is>
      </c>
      <c r="D127" s="10" t="n">
        <v>50509</v>
      </c>
      <c r="E127" s="11" t="n">
        <v>45.2</v>
      </c>
      <c r="F127" s="12">
        <f>E127/100</f>
        <v/>
      </c>
      <c r="G127" s="9" t="inlineStr">
        <is>
          <t>No</t>
        </is>
      </c>
      <c r="H127" s="13">
        <f>VLOOKUP(C127,Assumptions!$A$10:$B$15,2,FALSE)</f>
        <v/>
      </c>
      <c r="I127" s="14">
        <f>D127*H127</f>
        <v/>
      </c>
      <c r="J127" s="12">
        <f>1-(1-F127)^(Assumptions!$B$4/12)</f>
        <v/>
      </c>
      <c r="K127" s="14">
        <f>J127*I127</f>
        <v/>
      </c>
      <c r="L127" s="14">
        <f>IF(G127="Yes",(1-(1-F127*(1-Assumptions!$B$6))^(Assumptions!$B$4/12))*I127,K127)</f>
        <v/>
      </c>
    </row>
    <row r="128">
      <c r="A128" s="9" t="inlineStr">
        <is>
          <t>DF-100491</t>
        </is>
      </c>
      <c r="B128" s="9" t="inlineStr">
        <is>
          <t>Operations</t>
        </is>
      </c>
      <c r="C128" s="9" t="inlineStr">
        <is>
          <t>L2 - Mid</t>
        </is>
      </c>
      <c r="D128" s="10" t="n">
        <v>58370</v>
      </c>
      <c r="E128" s="11" t="n">
        <v>44.9</v>
      </c>
      <c r="F128" s="12">
        <f>E128/100</f>
        <v/>
      </c>
      <c r="G128" s="9" t="inlineStr">
        <is>
          <t>No</t>
        </is>
      </c>
      <c r="H128" s="13">
        <f>VLOOKUP(C128,Assumptions!$A$10:$B$15,2,FALSE)</f>
        <v/>
      </c>
      <c r="I128" s="14">
        <f>D128*H128</f>
        <v/>
      </c>
      <c r="J128" s="12">
        <f>1-(1-F128)^(Assumptions!$B$4/12)</f>
        <v/>
      </c>
      <c r="K128" s="14">
        <f>J128*I128</f>
        <v/>
      </c>
      <c r="L128" s="14">
        <f>IF(G128="Yes",(1-(1-F128*(1-Assumptions!$B$6))^(Assumptions!$B$4/12))*I128,K128)</f>
        <v/>
      </c>
    </row>
    <row r="129">
      <c r="A129" s="9" t="inlineStr">
        <is>
          <t>DF-100178</t>
        </is>
      </c>
      <c r="B129" s="9" t="inlineStr">
        <is>
          <t>Customer Success</t>
        </is>
      </c>
      <c r="C129" s="9" t="inlineStr">
        <is>
          <t>L4 - Lead</t>
        </is>
      </c>
      <c r="D129" s="10" t="n">
        <v>98826</v>
      </c>
      <c r="E129" s="11" t="n">
        <v>44.7</v>
      </c>
      <c r="F129" s="12">
        <f>E129/100</f>
        <v/>
      </c>
      <c r="G129" s="9" t="inlineStr">
        <is>
          <t>No</t>
        </is>
      </c>
      <c r="H129" s="13">
        <f>VLOOKUP(C129,Assumptions!$A$10:$B$15,2,FALSE)</f>
        <v/>
      </c>
      <c r="I129" s="14">
        <f>D129*H129</f>
        <v/>
      </c>
      <c r="J129" s="12">
        <f>1-(1-F129)^(Assumptions!$B$4/12)</f>
        <v/>
      </c>
      <c r="K129" s="14">
        <f>J129*I129</f>
        <v/>
      </c>
      <c r="L129" s="14">
        <f>IF(G129="Yes",(1-(1-F129*(1-Assumptions!$B$6))^(Assumptions!$B$4/12))*I129,K129)</f>
        <v/>
      </c>
    </row>
    <row r="130">
      <c r="A130" s="9" t="inlineStr">
        <is>
          <t>DF-100589</t>
        </is>
      </c>
      <c r="B130" s="9" t="inlineStr">
        <is>
          <t>Sales</t>
        </is>
      </c>
      <c r="C130" s="9" t="inlineStr">
        <is>
          <t>L1 - Junior</t>
        </is>
      </c>
      <c r="D130" s="10" t="n">
        <v>52875</v>
      </c>
      <c r="E130" s="11" t="n">
        <v>44.6</v>
      </c>
      <c r="F130" s="12">
        <f>E130/100</f>
        <v/>
      </c>
      <c r="G130" s="9" t="inlineStr">
        <is>
          <t>No</t>
        </is>
      </c>
      <c r="H130" s="13">
        <f>VLOOKUP(C130,Assumptions!$A$10:$B$15,2,FALSE)</f>
        <v/>
      </c>
      <c r="I130" s="14">
        <f>D130*H130</f>
        <v/>
      </c>
      <c r="J130" s="12">
        <f>1-(1-F130)^(Assumptions!$B$4/12)</f>
        <v/>
      </c>
      <c r="K130" s="14">
        <f>J130*I130</f>
        <v/>
      </c>
      <c r="L130" s="14">
        <f>IF(G130="Yes",(1-(1-F130*(1-Assumptions!$B$6))^(Assumptions!$B$4/12))*I130,K130)</f>
        <v/>
      </c>
    </row>
    <row r="131">
      <c r="A131" s="9" t="inlineStr">
        <is>
          <t>DF-100199</t>
        </is>
      </c>
      <c r="B131" s="9" t="inlineStr">
        <is>
          <t>Customer Success</t>
        </is>
      </c>
      <c r="C131" s="9" t="inlineStr">
        <is>
          <t>L2 - Mid</t>
        </is>
      </c>
      <c r="D131" s="10" t="n">
        <v>64759</v>
      </c>
      <c r="E131" s="11" t="n">
        <v>44.5</v>
      </c>
      <c r="F131" s="12">
        <f>E131/100</f>
        <v/>
      </c>
      <c r="G131" s="9" t="inlineStr">
        <is>
          <t>No</t>
        </is>
      </c>
      <c r="H131" s="13">
        <f>VLOOKUP(C131,Assumptions!$A$10:$B$15,2,FALSE)</f>
        <v/>
      </c>
      <c r="I131" s="14">
        <f>D131*H131</f>
        <v/>
      </c>
      <c r="J131" s="12">
        <f>1-(1-F131)^(Assumptions!$B$4/12)</f>
        <v/>
      </c>
      <c r="K131" s="14">
        <f>J131*I131</f>
        <v/>
      </c>
      <c r="L131" s="14">
        <f>IF(G131="Yes",(1-(1-F131*(1-Assumptions!$B$6))^(Assumptions!$B$4/12))*I131,K131)</f>
        <v/>
      </c>
    </row>
    <row r="132">
      <c r="A132" s="9" t="inlineStr">
        <is>
          <t>DF-100076</t>
        </is>
      </c>
      <c r="B132" s="9" t="inlineStr">
        <is>
          <t>Marketing</t>
        </is>
      </c>
      <c r="C132" s="9" t="inlineStr">
        <is>
          <t>L3 - Senior</t>
        </is>
      </c>
      <c r="D132" s="10" t="n">
        <v>75443</v>
      </c>
      <c r="E132" s="11" t="n">
        <v>44.4</v>
      </c>
      <c r="F132" s="12">
        <f>E132/100</f>
        <v/>
      </c>
      <c r="G132" s="9" t="inlineStr">
        <is>
          <t>No</t>
        </is>
      </c>
      <c r="H132" s="13">
        <f>VLOOKUP(C132,Assumptions!$A$10:$B$15,2,FALSE)</f>
        <v/>
      </c>
      <c r="I132" s="14">
        <f>D132*H132</f>
        <v/>
      </c>
      <c r="J132" s="12">
        <f>1-(1-F132)^(Assumptions!$B$4/12)</f>
        <v/>
      </c>
      <c r="K132" s="14">
        <f>J132*I132</f>
        <v/>
      </c>
      <c r="L132" s="14">
        <f>IF(G132="Yes",(1-(1-F132*(1-Assumptions!$B$6))^(Assumptions!$B$4/12))*I132,K132)</f>
        <v/>
      </c>
    </row>
    <row r="133">
      <c r="A133" s="9" t="inlineStr">
        <is>
          <t>DF-100328</t>
        </is>
      </c>
      <c r="B133" s="9" t="inlineStr">
        <is>
          <t>Data &amp; Analytics</t>
        </is>
      </c>
      <c r="C133" s="9" t="inlineStr">
        <is>
          <t>L1 - Junior</t>
        </is>
      </c>
      <c r="D133" s="10" t="n">
        <v>50806</v>
      </c>
      <c r="E133" s="11" t="n">
        <v>44.4</v>
      </c>
      <c r="F133" s="12">
        <f>E133/100</f>
        <v/>
      </c>
      <c r="G133" s="9" t="inlineStr">
        <is>
          <t>No</t>
        </is>
      </c>
      <c r="H133" s="13">
        <f>VLOOKUP(C133,Assumptions!$A$10:$B$15,2,FALSE)</f>
        <v/>
      </c>
      <c r="I133" s="14">
        <f>D133*H133</f>
        <v/>
      </c>
      <c r="J133" s="12">
        <f>1-(1-F133)^(Assumptions!$B$4/12)</f>
        <v/>
      </c>
      <c r="K133" s="14">
        <f>J133*I133</f>
        <v/>
      </c>
      <c r="L133" s="14">
        <f>IF(G133="Yes",(1-(1-F133*(1-Assumptions!$B$6))^(Assumptions!$B$4/12))*I133,K133)</f>
        <v/>
      </c>
    </row>
    <row r="134">
      <c r="A134" s="9" t="inlineStr">
        <is>
          <t>DF-100041</t>
        </is>
      </c>
      <c r="B134" s="9" t="inlineStr">
        <is>
          <t>Support</t>
        </is>
      </c>
      <c r="C134" s="9" t="inlineStr">
        <is>
          <t>L5 - Manager</t>
        </is>
      </c>
      <c r="D134" s="10" t="n">
        <v>112743</v>
      </c>
      <c r="E134" s="11" t="n">
        <v>44.4</v>
      </c>
      <c r="F134" s="12">
        <f>E134/100</f>
        <v/>
      </c>
      <c r="G134" s="9" t="inlineStr">
        <is>
          <t>No</t>
        </is>
      </c>
      <c r="H134" s="13">
        <f>VLOOKUP(C134,Assumptions!$A$10:$B$15,2,FALSE)</f>
        <v/>
      </c>
      <c r="I134" s="14">
        <f>D134*H134</f>
        <v/>
      </c>
      <c r="J134" s="12">
        <f>1-(1-F134)^(Assumptions!$B$4/12)</f>
        <v/>
      </c>
      <c r="K134" s="14">
        <f>J134*I134</f>
        <v/>
      </c>
      <c r="L134" s="14">
        <f>IF(G134="Yes",(1-(1-F134*(1-Assumptions!$B$6))^(Assumptions!$B$4/12))*I134,K134)</f>
        <v/>
      </c>
    </row>
    <row r="135">
      <c r="A135" s="9" t="inlineStr">
        <is>
          <t>DF-100207</t>
        </is>
      </c>
      <c r="B135" s="9" t="inlineStr">
        <is>
          <t>Data &amp; Analytics</t>
        </is>
      </c>
      <c r="C135" s="9" t="inlineStr">
        <is>
          <t>L2 - Mid</t>
        </is>
      </c>
      <c r="D135" s="10" t="n">
        <v>78313</v>
      </c>
      <c r="E135" s="11" t="n">
        <v>44.3</v>
      </c>
      <c r="F135" s="12">
        <f>E135/100</f>
        <v/>
      </c>
      <c r="G135" s="9" t="inlineStr">
        <is>
          <t>No</t>
        </is>
      </c>
      <c r="H135" s="13">
        <f>VLOOKUP(C135,Assumptions!$A$10:$B$15,2,FALSE)</f>
        <v/>
      </c>
      <c r="I135" s="14">
        <f>D135*H135</f>
        <v/>
      </c>
      <c r="J135" s="12">
        <f>1-(1-F135)^(Assumptions!$B$4/12)</f>
        <v/>
      </c>
      <c r="K135" s="14">
        <f>J135*I135</f>
        <v/>
      </c>
      <c r="L135" s="14">
        <f>IF(G135="Yes",(1-(1-F135*(1-Assumptions!$B$6))^(Assumptions!$B$4/12))*I135,K135)</f>
        <v/>
      </c>
    </row>
    <row r="136">
      <c r="A136" s="9" t="inlineStr">
        <is>
          <t>DF-100612</t>
        </is>
      </c>
      <c r="B136" s="9" t="inlineStr">
        <is>
          <t>Operations</t>
        </is>
      </c>
      <c r="C136" s="9" t="inlineStr">
        <is>
          <t>L6 - Director</t>
        </is>
      </c>
      <c r="D136" s="10" t="n">
        <v>138582</v>
      </c>
      <c r="E136" s="11" t="n">
        <v>44</v>
      </c>
      <c r="F136" s="12">
        <f>E136/100</f>
        <v/>
      </c>
      <c r="G136" s="9" t="inlineStr">
        <is>
          <t>No</t>
        </is>
      </c>
      <c r="H136" s="13">
        <f>VLOOKUP(C136,Assumptions!$A$10:$B$15,2,FALSE)</f>
        <v/>
      </c>
      <c r="I136" s="14">
        <f>D136*H136</f>
        <v/>
      </c>
      <c r="J136" s="12">
        <f>1-(1-F136)^(Assumptions!$B$4/12)</f>
        <v/>
      </c>
      <c r="K136" s="14">
        <f>J136*I136</f>
        <v/>
      </c>
      <c r="L136" s="14">
        <f>IF(G136="Yes",(1-(1-F136*(1-Assumptions!$B$6))^(Assumptions!$B$4/12))*I136,K136)</f>
        <v/>
      </c>
    </row>
    <row r="137">
      <c r="A137" s="9" t="inlineStr">
        <is>
          <t>DF-100173</t>
        </is>
      </c>
      <c r="B137" s="9" t="inlineStr">
        <is>
          <t>Finance</t>
        </is>
      </c>
      <c r="C137" s="9" t="inlineStr">
        <is>
          <t>L5 - Manager</t>
        </is>
      </c>
      <c r="D137" s="10" t="n">
        <v>136335</v>
      </c>
      <c r="E137" s="11" t="n">
        <v>43.9</v>
      </c>
      <c r="F137" s="12">
        <f>E137/100</f>
        <v/>
      </c>
      <c r="G137" s="9" t="inlineStr">
        <is>
          <t>No</t>
        </is>
      </c>
      <c r="H137" s="13">
        <f>VLOOKUP(C137,Assumptions!$A$10:$B$15,2,FALSE)</f>
        <v/>
      </c>
      <c r="I137" s="14">
        <f>D137*H137</f>
        <v/>
      </c>
      <c r="J137" s="12">
        <f>1-(1-F137)^(Assumptions!$B$4/12)</f>
        <v/>
      </c>
      <c r="K137" s="14">
        <f>J137*I137</f>
        <v/>
      </c>
      <c r="L137" s="14">
        <f>IF(G137="Yes",(1-(1-F137*(1-Assumptions!$B$6))^(Assumptions!$B$4/12))*I137,K137)</f>
        <v/>
      </c>
    </row>
    <row r="138">
      <c r="A138" s="9" t="inlineStr">
        <is>
          <t>DF-100451</t>
        </is>
      </c>
      <c r="B138" s="9" t="inlineStr">
        <is>
          <t>Sales</t>
        </is>
      </c>
      <c r="C138" s="9" t="inlineStr">
        <is>
          <t>L2 - Mid</t>
        </is>
      </c>
      <c r="D138" s="10" t="n">
        <v>74051</v>
      </c>
      <c r="E138" s="11" t="n">
        <v>43.8</v>
      </c>
      <c r="F138" s="12">
        <f>E138/100</f>
        <v/>
      </c>
      <c r="G138" s="9" t="inlineStr">
        <is>
          <t>No</t>
        </is>
      </c>
      <c r="H138" s="13">
        <f>VLOOKUP(C138,Assumptions!$A$10:$B$15,2,FALSE)</f>
        <v/>
      </c>
      <c r="I138" s="14">
        <f>D138*H138</f>
        <v/>
      </c>
      <c r="J138" s="12">
        <f>1-(1-F138)^(Assumptions!$B$4/12)</f>
        <v/>
      </c>
      <c r="K138" s="14">
        <f>J138*I138</f>
        <v/>
      </c>
      <c r="L138" s="14">
        <f>IF(G138="Yes",(1-(1-F138*(1-Assumptions!$B$6))^(Assumptions!$B$4/12))*I138,K138)</f>
        <v/>
      </c>
    </row>
    <row r="139">
      <c r="A139" s="9" t="inlineStr">
        <is>
          <t>DF-100597</t>
        </is>
      </c>
      <c r="B139" s="9" t="inlineStr">
        <is>
          <t>Finance</t>
        </is>
      </c>
      <c r="C139" s="9" t="inlineStr">
        <is>
          <t>L1 - Junior</t>
        </is>
      </c>
      <c r="D139" s="10" t="n">
        <v>49466</v>
      </c>
      <c r="E139" s="11" t="n">
        <v>43.7</v>
      </c>
      <c r="F139" s="12">
        <f>E139/100</f>
        <v/>
      </c>
      <c r="G139" s="9" t="inlineStr">
        <is>
          <t>No</t>
        </is>
      </c>
      <c r="H139" s="13">
        <f>VLOOKUP(C139,Assumptions!$A$10:$B$15,2,FALSE)</f>
        <v/>
      </c>
      <c r="I139" s="14">
        <f>D139*H139</f>
        <v/>
      </c>
      <c r="J139" s="12">
        <f>1-(1-F139)^(Assumptions!$B$4/12)</f>
        <v/>
      </c>
      <c r="K139" s="14">
        <f>J139*I139</f>
        <v/>
      </c>
      <c r="L139" s="14">
        <f>IF(G139="Yes",(1-(1-F139*(1-Assumptions!$B$6))^(Assumptions!$B$4/12))*I139,K139)</f>
        <v/>
      </c>
    </row>
    <row r="140">
      <c r="A140" s="9" t="inlineStr">
        <is>
          <t>DF-100674</t>
        </is>
      </c>
      <c r="B140" s="9" t="inlineStr">
        <is>
          <t>Sales</t>
        </is>
      </c>
      <c r="C140" s="9" t="inlineStr">
        <is>
          <t>L2 - Mid</t>
        </is>
      </c>
      <c r="D140" s="10" t="n">
        <v>77791</v>
      </c>
      <c r="E140" s="11" t="n">
        <v>43.6</v>
      </c>
      <c r="F140" s="12">
        <f>E140/100</f>
        <v/>
      </c>
      <c r="G140" s="9" t="inlineStr">
        <is>
          <t>No</t>
        </is>
      </c>
      <c r="H140" s="13">
        <f>VLOOKUP(C140,Assumptions!$A$10:$B$15,2,FALSE)</f>
        <v/>
      </c>
      <c r="I140" s="14">
        <f>D140*H140</f>
        <v/>
      </c>
      <c r="J140" s="12">
        <f>1-(1-F140)^(Assumptions!$B$4/12)</f>
        <v/>
      </c>
      <c r="K140" s="14">
        <f>J140*I140</f>
        <v/>
      </c>
      <c r="L140" s="14">
        <f>IF(G140="Yes",(1-(1-F140*(1-Assumptions!$B$6))^(Assumptions!$B$4/12))*I140,K140)</f>
        <v/>
      </c>
    </row>
    <row r="141">
      <c r="A141" s="9" t="inlineStr">
        <is>
          <t>DF-100161</t>
        </is>
      </c>
      <c r="B141" s="9" t="inlineStr">
        <is>
          <t>Marketing</t>
        </is>
      </c>
      <c r="C141" s="9" t="inlineStr">
        <is>
          <t>L1 - Junior</t>
        </is>
      </c>
      <c r="D141" s="10" t="n">
        <v>52344</v>
      </c>
      <c r="E141" s="11" t="n">
        <v>43.6</v>
      </c>
      <c r="F141" s="12">
        <f>E141/100</f>
        <v/>
      </c>
      <c r="G141" s="9" t="inlineStr">
        <is>
          <t>No</t>
        </is>
      </c>
      <c r="H141" s="13">
        <f>VLOOKUP(C141,Assumptions!$A$10:$B$15,2,FALSE)</f>
        <v/>
      </c>
      <c r="I141" s="14">
        <f>D141*H141</f>
        <v/>
      </c>
      <c r="J141" s="12">
        <f>1-(1-F141)^(Assumptions!$B$4/12)</f>
        <v/>
      </c>
      <c r="K141" s="14">
        <f>J141*I141</f>
        <v/>
      </c>
      <c r="L141" s="14">
        <f>IF(G141="Yes",(1-(1-F141*(1-Assumptions!$B$6))^(Assumptions!$B$4/12))*I141,K141)</f>
        <v/>
      </c>
    </row>
    <row r="142">
      <c r="A142" s="9" t="inlineStr">
        <is>
          <t>DF-100160</t>
        </is>
      </c>
      <c r="B142" s="9" t="inlineStr">
        <is>
          <t>Support</t>
        </is>
      </c>
      <c r="C142" s="9" t="inlineStr">
        <is>
          <t>L1 - Junior</t>
        </is>
      </c>
      <c r="D142" s="10" t="n">
        <v>33986</v>
      </c>
      <c r="E142" s="11" t="n">
        <v>43.5</v>
      </c>
      <c r="F142" s="12">
        <f>E142/100</f>
        <v/>
      </c>
      <c r="G142" s="9" t="inlineStr">
        <is>
          <t>No</t>
        </is>
      </c>
      <c r="H142" s="13">
        <f>VLOOKUP(C142,Assumptions!$A$10:$B$15,2,FALSE)</f>
        <v/>
      </c>
      <c r="I142" s="14">
        <f>D142*H142</f>
        <v/>
      </c>
      <c r="J142" s="12">
        <f>1-(1-F142)^(Assumptions!$B$4/12)</f>
        <v/>
      </c>
      <c r="K142" s="14">
        <f>J142*I142</f>
        <v/>
      </c>
      <c r="L142" s="14">
        <f>IF(G142="Yes",(1-(1-F142*(1-Assumptions!$B$6))^(Assumptions!$B$4/12))*I142,K142)</f>
        <v/>
      </c>
    </row>
    <row r="143">
      <c r="A143" s="9" t="inlineStr">
        <is>
          <t>DF-100428</t>
        </is>
      </c>
      <c r="B143" s="9" t="inlineStr">
        <is>
          <t>Product</t>
        </is>
      </c>
      <c r="C143" s="9" t="inlineStr">
        <is>
          <t>L2 - Mid</t>
        </is>
      </c>
      <c r="D143" s="10" t="n">
        <v>85530</v>
      </c>
      <c r="E143" s="11" t="n">
        <v>43.4</v>
      </c>
      <c r="F143" s="12">
        <f>E143/100</f>
        <v/>
      </c>
      <c r="G143" s="9" t="inlineStr">
        <is>
          <t>No</t>
        </is>
      </c>
      <c r="H143" s="13">
        <f>VLOOKUP(C143,Assumptions!$A$10:$B$15,2,FALSE)</f>
        <v/>
      </c>
      <c r="I143" s="14">
        <f>D143*H143</f>
        <v/>
      </c>
      <c r="J143" s="12">
        <f>1-(1-F143)^(Assumptions!$B$4/12)</f>
        <v/>
      </c>
      <c r="K143" s="14">
        <f>J143*I143</f>
        <v/>
      </c>
      <c r="L143" s="14">
        <f>IF(G143="Yes",(1-(1-F143*(1-Assumptions!$B$6))^(Assumptions!$B$4/12))*I143,K143)</f>
        <v/>
      </c>
    </row>
    <row r="144">
      <c r="A144" s="9" t="inlineStr">
        <is>
          <t>DF-100640</t>
        </is>
      </c>
      <c r="B144" s="9" t="inlineStr">
        <is>
          <t>Customer Success</t>
        </is>
      </c>
      <c r="C144" s="9" t="inlineStr">
        <is>
          <t>L2 - Mid</t>
        </is>
      </c>
      <c r="D144" s="10" t="n">
        <v>68283</v>
      </c>
      <c r="E144" s="11" t="n">
        <v>43.4</v>
      </c>
      <c r="F144" s="12">
        <f>E144/100</f>
        <v/>
      </c>
      <c r="G144" s="9" t="inlineStr">
        <is>
          <t>No</t>
        </is>
      </c>
      <c r="H144" s="13">
        <f>VLOOKUP(C144,Assumptions!$A$10:$B$15,2,FALSE)</f>
        <v/>
      </c>
      <c r="I144" s="14">
        <f>D144*H144</f>
        <v/>
      </c>
      <c r="J144" s="12">
        <f>1-(1-F144)^(Assumptions!$B$4/12)</f>
        <v/>
      </c>
      <c r="K144" s="14">
        <f>J144*I144</f>
        <v/>
      </c>
      <c r="L144" s="14">
        <f>IF(G144="Yes",(1-(1-F144*(1-Assumptions!$B$6))^(Assumptions!$B$4/12))*I144,K144)</f>
        <v/>
      </c>
    </row>
    <row r="145">
      <c r="A145" s="9" t="inlineStr">
        <is>
          <t>DF-100568</t>
        </is>
      </c>
      <c r="B145" s="9" t="inlineStr">
        <is>
          <t>Customer Success</t>
        </is>
      </c>
      <c r="C145" s="9" t="inlineStr">
        <is>
          <t>L2 - Mid</t>
        </is>
      </c>
      <c r="D145" s="10" t="n">
        <v>59579</v>
      </c>
      <c r="E145" s="11" t="n">
        <v>43.3</v>
      </c>
      <c r="F145" s="12">
        <f>E145/100</f>
        <v/>
      </c>
      <c r="G145" s="9" t="inlineStr">
        <is>
          <t>No</t>
        </is>
      </c>
      <c r="H145" s="13">
        <f>VLOOKUP(C145,Assumptions!$A$10:$B$15,2,FALSE)</f>
        <v/>
      </c>
      <c r="I145" s="14">
        <f>D145*H145</f>
        <v/>
      </c>
      <c r="J145" s="12">
        <f>1-(1-F145)^(Assumptions!$B$4/12)</f>
        <v/>
      </c>
      <c r="K145" s="14">
        <f>J145*I145</f>
        <v/>
      </c>
      <c r="L145" s="14">
        <f>IF(G145="Yes",(1-(1-F145*(1-Assumptions!$B$6))^(Assumptions!$B$4/12))*I145,K145)</f>
        <v/>
      </c>
    </row>
    <row r="146">
      <c r="A146" s="9" t="inlineStr">
        <is>
          <t>DF-100336</t>
        </is>
      </c>
      <c r="B146" s="9" t="inlineStr">
        <is>
          <t>Customer Success</t>
        </is>
      </c>
      <c r="C146" s="9" t="inlineStr">
        <is>
          <t>L2 - Mid</t>
        </is>
      </c>
      <c r="D146" s="10" t="n">
        <v>57629</v>
      </c>
      <c r="E146" s="11" t="n">
        <v>43.3</v>
      </c>
      <c r="F146" s="12">
        <f>E146/100</f>
        <v/>
      </c>
      <c r="G146" s="9" t="inlineStr">
        <is>
          <t>No</t>
        </is>
      </c>
      <c r="H146" s="13">
        <f>VLOOKUP(C146,Assumptions!$A$10:$B$15,2,FALSE)</f>
        <v/>
      </c>
      <c r="I146" s="14">
        <f>D146*H146</f>
        <v/>
      </c>
      <c r="J146" s="12">
        <f>1-(1-F146)^(Assumptions!$B$4/12)</f>
        <v/>
      </c>
      <c r="K146" s="14">
        <f>J146*I146</f>
        <v/>
      </c>
      <c r="L146" s="14">
        <f>IF(G146="Yes",(1-(1-F146*(1-Assumptions!$B$6))^(Assumptions!$B$4/12))*I146,K146)</f>
        <v/>
      </c>
    </row>
    <row r="147">
      <c r="A147" s="9" t="inlineStr">
        <is>
          <t>DF-100106</t>
        </is>
      </c>
      <c r="B147" s="9" t="inlineStr">
        <is>
          <t>People/HR</t>
        </is>
      </c>
      <c r="C147" s="9" t="inlineStr">
        <is>
          <t>L1 - Junior</t>
        </is>
      </c>
      <c r="D147" s="10" t="n">
        <v>42714</v>
      </c>
      <c r="E147" s="11" t="n">
        <v>43.2</v>
      </c>
      <c r="F147" s="12">
        <f>E147/100</f>
        <v/>
      </c>
      <c r="G147" s="9" t="inlineStr">
        <is>
          <t>No</t>
        </is>
      </c>
      <c r="H147" s="13">
        <f>VLOOKUP(C147,Assumptions!$A$10:$B$15,2,FALSE)</f>
        <v/>
      </c>
      <c r="I147" s="14">
        <f>D147*H147</f>
        <v/>
      </c>
      <c r="J147" s="12">
        <f>1-(1-F147)^(Assumptions!$B$4/12)</f>
        <v/>
      </c>
      <c r="K147" s="14">
        <f>J147*I147</f>
        <v/>
      </c>
      <c r="L147" s="14">
        <f>IF(G147="Yes",(1-(1-F147*(1-Assumptions!$B$6))^(Assumptions!$B$4/12))*I147,K147)</f>
        <v/>
      </c>
    </row>
    <row r="148">
      <c r="A148" s="9" t="inlineStr">
        <is>
          <t>DF-100564</t>
        </is>
      </c>
      <c r="B148" s="9" t="inlineStr">
        <is>
          <t>People/HR</t>
        </is>
      </c>
      <c r="C148" s="9" t="inlineStr">
        <is>
          <t>L5 - Manager</t>
        </is>
      </c>
      <c r="D148" s="10" t="n">
        <v>124888</v>
      </c>
      <c r="E148" s="11" t="n">
        <v>42.7</v>
      </c>
      <c r="F148" s="12">
        <f>E148/100</f>
        <v/>
      </c>
      <c r="G148" s="9" t="inlineStr">
        <is>
          <t>No</t>
        </is>
      </c>
      <c r="H148" s="13">
        <f>VLOOKUP(C148,Assumptions!$A$10:$B$15,2,FALSE)</f>
        <v/>
      </c>
      <c r="I148" s="14">
        <f>D148*H148</f>
        <v/>
      </c>
      <c r="J148" s="12">
        <f>1-(1-F148)^(Assumptions!$B$4/12)</f>
        <v/>
      </c>
      <c r="K148" s="14">
        <f>J148*I148</f>
        <v/>
      </c>
      <c r="L148" s="14">
        <f>IF(G148="Yes",(1-(1-F148*(1-Assumptions!$B$6))^(Assumptions!$B$4/12))*I148,K148)</f>
        <v/>
      </c>
    </row>
    <row r="149">
      <c r="A149" s="9" t="inlineStr">
        <is>
          <t>DF-100519</t>
        </is>
      </c>
      <c r="B149" s="9" t="inlineStr">
        <is>
          <t>Customer Success</t>
        </is>
      </c>
      <c r="C149" s="9" t="inlineStr">
        <is>
          <t>L1 - Junior</t>
        </is>
      </c>
      <c r="D149" s="10" t="n">
        <v>43969</v>
      </c>
      <c r="E149" s="11" t="n">
        <v>42.6</v>
      </c>
      <c r="F149" s="12">
        <f>E149/100</f>
        <v/>
      </c>
      <c r="G149" s="9" t="inlineStr">
        <is>
          <t>No</t>
        </is>
      </c>
      <c r="H149" s="13">
        <f>VLOOKUP(C149,Assumptions!$A$10:$B$15,2,FALSE)</f>
        <v/>
      </c>
      <c r="I149" s="14">
        <f>D149*H149</f>
        <v/>
      </c>
      <c r="J149" s="12">
        <f>1-(1-F149)^(Assumptions!$B$4/12)</f>
        <v/>
      </c>
      <c r="K149" s="14">
        <f>J149*I149</f>
        <v/>
      </c>
      <c r="L149" s="14">
        <f>IF(G149="Yes",(1-(1-F149*(1-Assumptions!$B$6))^(Assumptions!$B$4/12))*I149,K149)</f>
        <v/>
      </c>
    </row>
    <row r="150">
      <c r="A150" s="9" t="inlineStr">
        <is>
          <t>DF-100657</t>
        </is>
      </c>
      <c r="B150" s="9" t="inlineStr">
        <is>
          <t>Product</t>
        </is>
      </c>
      <c r="C150" s="9" t="inlineStr">
        <is>
          <t>L5 - Manager</t>
        </is>
      </c>
      <c r="D150" s="10" t="n">
        <v>149454</v>
      </c>
      <c r="E150" s="11" t="n">
        <v>42.4</v>
      </c>
      <c r="F150" s="12">
        <f>E150/100</f>
        <v/>
      </c>
      <c r="G150" s="9" t="inlineStr">
        <is>
          <t>No</t>
        </is>
      </c>
      <c r="H150" s="13">
        <f>VLOOKUP(C150,Assumptions!$A$10:$B$15,2,FALSE)</f>
        <v/>
      </c>
      <c r="I150" s="14">
        <f>D150*H150</f>
        <v/>
      </c>
      <c r="J150" s="12">
        <f>1-(1-F150)^(Assumptions!$B$4/12)</f>
        <v/>
      </c>
      <c r="K150" s="14">
        <f>J150*I150</f>
        <v/>
      </c>
      <c r="L150" s="14">
        <f>IF(G150="Yes",(1-(1-F150*(1-Assumptions!$B$6))^(Assumptions!$B$4/12))*I150,K150)</f>
        <v/>
      </c>
    </row>
    <row r="151">
      <c r="A151" s="9" t="inlineStr">
        <is>
          <t>DF-100462</t>
        </is>
      </c>
      <c r="B151" s="9" t="inlineStr">
        <is>
          <t>Product</t>
        </is>
      </c>
      <c r="C151" s="9" t="inlineStr">
        <is>
          <t>L1 - Junior</t>
        </is>
      </c>
      <c r="D151" s="10" t="n">
        <v>60409</v>
      </c>
      <c r="E151" s="11" t="n">
        <v>42.4</v>
      </c>
      <c r="F151" s="12">
        <f>E151/100</f>
        <v/>
      </c>
      <c r="G151" s="9" t="inlineStr">
        <is>
          <t>No</t>
        </is>
      </c>
      <c r="H151" s="13">
        <f>VLOOKUP(C151,Assumptions!$A$10:$B$15,2,FALSE)</f>
        <v/>
      </c>
      <c r="I151" s="14">
        <f>D151*H151</f>
        <v/>
      </c>
      <c r="J151" s="12">
        <f>1-(1-F151)^(Assumptions!$B$4/12)</f>
        <v/>
      </c>
      <c r="K151" s="14">
        <f>J151*I151</f>
        <v/>
      </c>
      <c r="L151" s="14">
        <f>IF(G151="Yes",(1-(1-F151*(1-Assumptions!$B$6))^(Assumptions!$B$4/12))*I151,K151)</f>
        <v/>
      </c>
    </row>
    <row r="152">
      <c r="A152" s="9" t="inlineStr">
        <is>
          <t>DF-100221</t>
        </is>
      </c>
      <c r="B152" s="9" t="inlineStr">
        <is>
          <t>Sales</t>
        </is>
      </c>
      <c r="C152" s="9" t="inlineStr">
        <is>
          <t>L3 - Senior</t>
        </is>
      </c>
      <c r="D152" s="10" t="n">
        <v>112172</v>
      </c>
      <c r="E152" s="11" t="n">
        <v>42.2</v>
      </c>
      <c r="F152" s="12">
        <f>E152/100</f>
        <v/>
      </c>
      <c r="G152" s="9" t="inlineStr">
        <is>
          <t>No</t>
        </is>
      </c>
      <c r="H152" s="13">
        <f>VLOOKUP(C152,Assumptions!$A$10:$B$15,2,FALSE)</f>
        <v/>
      </c>
      <c r="I152" s="14">
        <f>D152*H152</f>
        <v/>
      </c>
      <c r="J152" s="12">
        <f>1-(1-F152)^(Assumptions!$B$4/12)</f>
        <v/>
      </c>
      <c r="K152" s="14">
        <f>J152*I152</f>
        <v/>
      </c>
      <c r="L152" s="14">
        <f>IF(G152="Yes",(1-(1-F152*(1-Assumptions!$B$6))^(Assumptions!$B$4/12))*I152,K152)</f>
        <v/>
      </c>
    </row>
    <row r="153">
      <c r="A153" s="9" t="inlineStr">
        <is>
          <t>DF-100534</t>
        </is>
      </c>
      <c r="B153" s="9" t="inlineStr">
        <is>
          <t>Data &amp; Analytics</t>
        </is>
      </c>
      <c r="C153" s="9" t="inlineStr">
        <is>
          <t>L3 - Senior</t>
        </is>
      </c>
      <c r="D153" s="10" t="n">
        <v>99738</v>
      </c>
      <c r="E153" s="11" t="n">
        <v>42.1</v>
      </c>
      <c r="F153" s="12">
        <f>E153/100</f>
        <v/>
      </c>
      <c r="G153" s="9" t="inlineStr">
        <is>
          <t>No</t>
        </is>
      </c>
      <c r="H153" s="13">
        <f>VLOOKUP(C153,Assumptions!$A$10:$B$15,2,FALSE)</f>
        <v/>
      </c>
      <c r="I153" s="14">
        <f>D153*H153</f>
        <v/>
      </c>
      <c r="J153" s="12">
        <f>1-(1-F153)^(Assumptions!$B$4/12)</f>
        <v/>
      </c>
      <c r="K153" s="14">
        <f>J153*I153</f>
        <v/>
      </c>
      <c r="L153" s="14">
        <f>IF(G153="Yes",(1-(1-F153*(1-Assumptions!$B$6))^(Assumptions!$B$4/12))*I153,K153)</f>
        <v/>
      </c>
    </row>
    <row r="154">
      <c r="A154" s="9" t="inlineStr">
        <is>
          <t>DF-100016</t>
        </is>
      </c>
      <c r="B154" s="9" t="inlineStr">
        <is>
          <t>People/HR</t>
        </is>
      </c>
      <c r="C154" s="9" t="inlineStr">
        <is>
          <t>L3 - Senior</t>
        </is>
      </c>
      <c r="D154" s="10" t="n">
        <v>68138</v>
      </c>
      <c r="E154" s="11" t="n">
        <v>42.1</v>
      </c>
      <c r="F154" s="12">
        <f>E154/100</f>
        <v/>
      </c>
      <c r="G154" s="9" t="inlineStr">
        <is>
          <t>No</t>
        </is>
      </c>
      <c r="H154" s="13">
        <f>VLOOKUP(C154,Assumptions!$A$10:$B$15,2,FALSE)</f>
        <v/>
      </c>
      <c r="I154" s="14">
        <f>D154*H154</f>
        <v/>
      </c>
      <c r="J154" s="12">
        <f>1-(1-F154)^(Assumptions!$B$4/12)</f>
        <v/>
      </c>
      <c r="K154" s="14">
        <f>J154*I154</f>
        <v/>
      </c>
      <c r="L154" s="14">
        <f>IF(G154="Yes",(1-(1-F154*(1-Assumptions!$B$6))^(Assumptions!$B$4/12))*I154,K154)</f>
        <v/>
      </c>
    </row>
    <row r="155">
      <c r="A155" s="9" t="inlineStr">
        <is>
          <t>DF-100664</t>
        </is>
      </c>
      <c r="B155" s="9" t="inlineStr">
        <is>
          <t>Finance</t>
        </is>
      </c>
      <c r="C155" s="9" t="inlineStr">
        <is>
          <t>L3 - Senior</t>
        </is>
      </c>
      <c r="D155" s="10" t="n">
        <v>85177</v>
      </c>
      <c r="E155" s="11" t="n">
        <v>42.1</v>
      </c>
      <c r="F155" s="12">
        <f>E155/100</f>
        <v/>
      </c>
      <c r="G155" s="9" t="inlineStr">
        <is>
          <t>No</t>
        </is>
      </c>
      <c r="H155" s="13">
        <f>VLOOKUP(C155,Assumptions!$A$10:$B$15,2,FALSE)</f>
        <v/>
      </c>
      <c r="I155" s="14">
        <f>D155*H155</f>
        <v/>
      </c>
      <c r="J155" s="12">
        <f>1-(1-F155)^(Assumptions!$B$4/12)</f>
        <v/>
      </c>
      <c r="K155" s="14">
        <f>J155*I155</f>
        <v/>
      </c>
      <c r="L155" s="14">
        <f>IF(G155="Yes",(1-(1-F155*(1-Assumptions!$B$6))^(Assumptions!$B$4/12))*I155,K155)</f>
        <v/>
      </c>
    </row>
    <row r="156">
      <c r="A156" s="9" t="inlineStr">
        <is>
          <t>DF-100048</t>
        </is>
      </c>
      <c r="B156" s="9" t="inlineStr">
        <is>
          <t>Customer Success</t>
        </is>
      </c>
      <c r="C156" s="9" t="inlineStr">
        <is>
          <t>L2 - Mid</t>
        </is>
      </c>
      <c r="D156" s="10" t="n">
        <v>67726</v>
      </c>
      <c r="E156" s="11" t="n">
        <v>41.8</v>
      </c>
      <c r="F156" s="12">
        <f>E156/100</f>
        <v/>
      </c>
      <c r="G156" s="9" t="inlineStr">
        <is>
          <t>No</t>
        </is>
      </c>
      <c r="H156" s="13">
        <f>VLOOKUP(C156,Assumptions!$A$10:$B$15,2,FALSE)</f>
        <v/>
      </c>
      <c r="I156" s="14">
        <f>D156*H156</f>
        <v/>
      </c>
      <c r="J156" s="12">
        <f>1-(1-F156)^(Assumptions!$B$4/12)</f>
        <v/>
      </c>
      <c r="K156" s="14">
        <f>J156*I156</f>
        <v/>
      </c>
      <c r="L156" s="14">
        <f>IF(G156="Yes",(1-(1-F156*(1-Assumptions!$B$6))^(Assumptions!$B$4/12))*I156,K156)</f>
        <v/>
      </c>
    </row>
    <row r="157">
      <c r="A157" s="9" t="inlineStr">
        <is>
          <t>DF-100227</t>
        </is>
      </c>
      <c r="B157" s="9" t="inlineStr">
        <is>
          <t>Operations</t>
        </is>
      </c>
      <c r="C157" s="9" t="inlineStr">
        <is>
          <t>L2 - Mid</t>
        </is>
      </c>
      <c r="D157" s="10" t="n">
        <v>59101</v>
      </c>
      <c r="E157" s="11" t="n">
        <v>41.6</v>
      </c>
      <c r="F157" s="12">
        <f>E157/100</f>
        <v/>
      </c>
      <c r="G157" s="9" t="inlineStr">
        <is>
          <t>No</t>
        </is>
      </c>
      <c r="H157" s="13">
        <f>VLOOKUP(C157,Assumptions!$A$10:$B$15,2,FALSE)</f>
        <v/>
      </c>
      <c r="I157" s="14">
        <f>D157*H157</f>
        <v/>
      </c>
      <c r="J157" s="12">
        <f>1-(1-F157)^(Assumptions!$B$4/12)</f>
        <v/>
      </c>
      <c r="K157" s="14">
        <f>J157*I157</f>
        <v/>
      </c>
      <c r="L157" s="14">
        <f>IF(G157="Yes",(1-(1-F157*(1-Assumptions!$B$6))^(Assumptions!$B$4/12))*I157,K157)</f>
        <v/>
      </c>
    </row>
    <row r="158">
      <c r="A158" s="9" t="inlineStr">
        <is>
          <t>DF-100669</t>
        </is>
      </c>
      <c r="B158" s="9" t="inlineStr">
        <is>
          <t>Product</t>
        </is>
      </c>
      <c r="C158" s="9" t="inlineStr">
        <is>
          <t>L1 - Junior</t>
        </is>
      </c>
      <c r="D158" s="10" t="n">
        <v>45229</v>
      </c>
      <c r="E158" s="11" t="n">
        <v>41.6</v>
      </c>
      <c r="F158" s="12">
        <f>E158/100</f>
        <v/>
      </c>
      <c r="G158" s="9" t="inlineStr">
        <is>
          <t>No</t>
        </is>
      </c>
      <c r="H158" s="13">
        <f>VLOOKUP(C158,Assumptions!$A$10:$B$15,2,FALSE)</f>
        <v/>
      </c>
      <c r="I158" s="14">
        <f>D158*H158</f>
        <v/>
      </c>
      <c r="J158" s="12">
        <f>1-(1-F158)^(Assumptions!$B$4/12)</f>
        <v/>
      </c>
      <c r="K158" s="14">
        <f>J158*I158</f>
        <v/>
      </c>
      <c r="L158" s="14">
        <f>IF(G158="Yes",(1-(1-F158*(1-Assumptions!$B$6))^(Assumptions!$B$4/12))*I158,K158)</f>
        <v/>
      </c>
    </row>
    <row r="159">
      <c r="A159" s="9" t="inlineStr">
        <is>
          <t>DF-100416</t>
        </is>
      </c>
      <c r="B159" s="9" t="inlineStr">
        <is>
          <t>Engineering</t>
        </is>
      </c>
      <c r="C159" s="9" t="inlineStr">
        <is>
          <t>L2 - Mid</t>
        </is>
      </c>
      <c r="D159" s="10" t="n">
        <v>88518</v>
      </c>
      <c r="E159" s="11" t="n">
        <v>41.6</v>
      </c>
      <c r="F159" s="12">
        <f>E159/100</f>
        <v/>
      </c>
      <c r="G159" s="9" t="inlineStr">
        <is>
          <t>No</t>
        </is>
      </c>
      <c r="H159" s="13">
        <f>VLOOKUP(C159,Assumptions!$A$10:$B$15,2,FALSE)</f>
        <v/>
      </c>
      <c r="I159" s="14">
        <f>D159*H159</f>
        <v/>
      </c>
      <c r="J159" s="12">
        <f>1-(1-F159)^(Assumptions!$B$4/12)</f>
        <v/>
      </c>
      <c r="K159" s="14">
        <f>J159*I159</f>
        <v/>
      </c>
      <c r="L159" s="14">
        <f>IF(G159="Yes",(1-(1-F159*(1-Assumptions!$B$6))^(Assumptions!$B$4/12))*I159,K159)</f>
        <v/>
      </c>
    </row>
    <row r="160">
      <c r="A160" s="9" t="inlineStr">
        <is>
          <t>DF-100393</t>
        </is>
      </c>
      <c r="B160" s="9" t="inlineStr">
        <is>
          <t>Customer Success</t>
        </is>
      </c>
      <c r="C160" s="9" t="inlineStr">
        <is>
          <t>L3 - Senior</t>
        </is>
      </c>
      <c r="D160" s="10" t="n">
        <v>68568</v>
      </c>
      <c r="E160" s="11" t="n">
        <v>41.5</v>
      </c>
      <c r="F160" s="12">
        <f>E160/100</f>
        <v/>
      </c>
      <c r="G160" s="9" t="inlineStr">
        <is>
          <t>No</t>
        </is>
      </c>
      <c r="H160" s="13">
        <f>VLOOKUP(C160,Assumptions!$A$10:$B$15,2,FALSE)</f>
        <v/>
      </c>
      <c r="I160" s="14">
        <f>D160*H160</f>
        <v/>
      </c>
      <c r="J160" s="12">
        <f>1-(1-F160)^(Assumptions!$B$4/12)</f>
        <v/>
      </c>
      <c r="K160" s="14">
        <f>J160*I160</f>
        <v/>
      </c>
      <c r="L160" s="14">
        <f>IF(G160="Yes",(1-(1-F160*(1-Assumptions!$B$6))^(Assumptions!$B$4/12))*I160,K160)</f>
        <v/>
      </c>
    </row>
    <row r="161">
      <c r="A161" s="9" t="inlineStr">
        <is>
          <t>DF-100434</t>
        </is>
      </c>
      <c r="B161" s="9" t="inlineStr">
        <is>
          <t>Data &amp; Analytics</t>
        </is>
      </c>
      <c r="C161" s="9" t="inlineStr">
        <is>
          <t>L3 - Senior</t>
        </is>
      </c>
      <c r="D161" s="10" t="n">
        <v>86936</v>
      </c>
      <c r="E161" s="11" t="n">
        <v>41.5</v>
      </c>
      <c r="F161" s="12">
        <f>E161/100</f>
        <v/>
      </c>
      <c r="G161" s="9" t="inlineStr">
        <is>
          <t>No</t>
        </is>
      </c>
      <c r="H161" s="13">
        <f>VLOOKUP(C161,Assumptions!$A$10:$B$15,2,FALSE)</f>
        <v/>
      </c>
      <c r="I161" s="14">
        <f>D161*H161</f>
        <v/>
      </c>
      <c r="J161" s="12">
        <f>1-(1-F161)^(Assumptions!$B$4/12)</f>
        <v/>
      </c>
      <c r="K161" s="14">
        <f>J161*I161</f>
        <v/>
      </c>
      <c r="L161" s="14">
        <f>IF(G161="Yes",(1-(1-F161*(1-Assumptions!$B$6))^(Assumptions!$B$4/12))*I161,K161)</f>
        <v/>
      </c>
    </row>
    <row r="162">
      <c r="A162" s="9" t="inlineStr">
        <is>
          <t>DF-100622</t>
        </is>
      </c>
      <c r="B162" s="9" t="inlineStr">
        <is>
          <t>Operations</t>
        </is>
      </c>
      <c r="C162" s="9" t="inlineStr">
        <is>
          <t>L2 - Mid</t>
        </is>
      </c>
      <c r="D162" s="10" t="n">
        <v>60903</v>
      </c>
      <c r="E162" s="11" t="n">
        <v>41.5</v>
      </c>
      <c r="F162" s="12">
        <f>E162/100</f>
        <v/>
      </c>
      <c r="G162" s="9" t="inlineStr">
        <is>
          <t>No</t>
        </is>
      </c>
      <c r="H162" s="13">
        <f>VLOOKUP(C162,Assumptions!$A$10:$B$15,2,FALSE)</f>
        <v/>
      </c>
      <c r="I162" s="14">
        <f>D162*H162</f>
        <v/>
      </c>
      <c r="J162" s="12">
        <f>1-(1-F162)^(Assumptions!$B$4/12)</f>
        <v/>
      </c>
      <c r="K162" s="14">
        <f>J162*I162</f>
        <v/>
      </c>
      <c r="L162" s="14">
        <f>IF(G162="Yes",(1-(1-F162*(1-Assumptions!$B$6))^(Assumptions!$B$4/12))*I162,K162)</f>
        <v/>
      </c>
    </row>
    <row r="163">
      <c r="A163" s="9" t="inlineStr">
        <is>
          <t>DF-100498</t>
        </is>
      </c>
      <c r="B163" s="9" t="inlineStr">
        <is>
          <t>Product</t>
        </is>
      </c>
      <c r="C163" s="9" t="inlineStr">
        <is>
          <t>L6 - Director</t>
        </is>
      </c>
      <c r="D163" s="10" t="n">
        <v>183358</v>
      </c>
      <c r="E163" s="11" t="n">
        <v>41.4</v>
      </c>
      <c r="F163" s="12">
        <f>E163/100</f>
        <v/>
      </c>
      <c r="G163" s="9" t="inlineStr">
        <is>
          <t>No</t>
        </is>
      </c>
      <c r="H163" s="13">
        <f>VLOOKUP(C163,Assumptions!$A$10:$B$15,2,FALSE)</f>
        <v/>
      </c>
      <c r="I163" s="14">
        <f>D163*H163</f>
        <v/>
      </c>
      <c r="J163" s="12">
        <f>1-(1-F163)^(Assumptions!$B$4/12)</f>
        <v/>
      </c>
      <c r="K163" s="14">
        <f>J163*I163</f>
        <v/>
      </c>
      <c r="L163" s="14">
        <f>IF(G163="Yes",(1-(1-F163*(1-Assumptions!$B$6))^(Assumptions!$B$4/12))*I163,K163)</f>
        <v/>
      </c>
    </row>
    <row r="164">
      <c r="A164" s="9" t="inlineStr">
        <is>
          <t>DF-100494</t>
        </is>
      </c>
      <c r="B164" s="9" t="inlineStr">
        <is>
          <t>Finance</t>
        </is>
      </c>
      <c r="C164" s="9" t="inlineStr">
        <is>
          <t>L2 - Mid</t>
        </is>
      </c>
      <c r="D164" s="10" t="n">
        <v>64285</v>
      </c>
      <c r="E164" s="11" t="n">
        <v>41.3</v>
      </c>
      <c r="F164" s="12">
        <f>E164/100</f>
        <v/>
      </c>
      <c r="G164" s="9" t="inlineStr">
        <is>
          <t>No</t>
        </is>
      </c>
      <c r="H164" s="13">
        <f>VLOOKUP(C164,Assumptions!$A$10:$B$15,2,FALSE)</f>
        <v/>
      </c>
      <c r="I164" s="14">
        <f>D164*H164</f>
        <v/>
      </c>
      <c r="J164" s="12">
        <f>1-(1-F164)^(Assumptions!$B$4/12)</f>
        <v/>
      </c>
      <c r="K164" s="14">
        <f>J164*I164</f>
        <v/>
      </c>
      <c r="L164" s="14">
        <f>IF(G164="Yes",(1-(1-F164*(1-Assumptions!$B$6))^(Assumptions!$B$4/12))*I164,K164)</f>
        <v/>
      </c>
    </row>
    <row r="165">
      <c r="A165" s="9" t="inlineStr">
        <is>
          <t>DF-100085</t>
        </is>
      </c>
      <c r="B165" s="9" t="inlineStr">
        <is>
          <t>Customer Success</t>
        </is>
      </c>
      <c r="C165" s="9" t="inlineStr">
        <is>
          <t>L2 - Mid</t>
        </is>
      </c>
      <c r="D165" s="10" t="n">
        <v>68818</v>
      </c>
      <c r="E165" s="11" t="n">
        <v>41.3</v>
      </c>
      <c r="F165" s="12">
        <f>E165/100</f>
        <v/>
      </c>
      <c r="G165" s="9" t="inlineStr">
        <is>
          <t>No</t>
        </is>
      </c>
      <c r="H165" s="13">
        <f>VLOOKUP(C165,Assumptions!$A$10:$B$15,2,FALSE)</f>
        <v/>
      </c>
      <c r="I165" s="14">
        <f>D165*H165</f>
        <v/>
      </c>
      <c r="J165" s="12">
        <f>1-(1-F165)^(Assumptions!$B$4/12)</f>
        <v/>
      </c>
      <c r="K165" s="14">
        <f>J165*I165</f>
        <v/>
      </c>
      <c r="L165" s="14">
        <f>IF(G165="Yes",(1-(1-F165*(1-Assumptions!$B$6))^(Assumptions!$B$4/12))*I165,K165)</f>
        <v/>
      </c>
    </row>
    <row r="166">
      <c r="A166" s="9" t="inlineStr">
        <is>
          <t>DF-100239</t>
        </is>
      </c>
      <c r="B166" s="9" t="inlineStr">
        <is>
          <t>Data &amp; Analytics</t>
        </is>
      </c>
      <c r="C166" s="9" t="inlineStr">
        <is>
          <t>L2 - Mid</t>
        </is>
      </c>
      <c r="D166" s="10" t="n">
        <v>63825</v>
      </c>
      <c r="E166" s="11" t="n">
        <v>41.2</v>
      </c>
      <c r="F166" s="12">
        <f>E166/100</f>
        <v/>
      </c>
      <c r="G166" s="9" t="inlineStr">
        <is>
          <t>No</t>
        </is>
      </c>
      <c r="H166" s="13">
        <f>VLOOKUP(C166,Assumptions!$A$10:$B$15,2,FALSE)</f>
        <v/>
      </c>
      <c r="I166" s="14">
        <f>D166*H166</f>
        <v/>
      </c>
      <c r="J166" s="12">
        <f>1-(1-F166)^(Assumptions!$B$4/12)</f>
        <v/>
      </c>
      <c r="K166" s="14">
        <f>J166*I166</f>
        <v/>
      </c>
      <c r="L166" s="14">
        <f>IF(G166="Yes",(1-(1-F166*(1-Assumptions!$B$6))^(Assumptions!$B$4/12))*I166,K166)</f>
        <v/>
      </c>
    </row>
    <row r="167">
      <c r="A167" s="9" t="inlineStr">
        <is>
          <t>DF-100362</t>
        </is>
      </c>
      <c r="B167" s="9" t="inlineStr">
        <is>
          <t>People/HR</t>
        </is>
      </c>
      <c r="C167" s="9" t="inlineStr">
        <is>
          <t>L2 - Mid</t>
        </is>
      </c>
      <c r="D167" s="10" t="n">
        <v>45535</v>
      </c>
      <c r="E167" s="11" t="n">
        <v>41</v>
      </c>
      <c r="F167" s="12">
        <f>E167/100</f>
        <v/>
      </c>
      <c r="G167" s="9" t="inlineStr">
        <is>
          <t>No</t>
        </is>
      </c>
      <c r="H167" s="13">
        <f>VLOOKUP(C167,Assumptions!$A$10:$B$15,2,FALSE)</f>
        <v/>
      </c>
      <c r="I167" s="14">
        <f>D167*H167</f>
        <v/>
      </c>
      <c r="J167" s="12">
        <f>1-(1-F167)^(Assumptions!$B$4/12)</f>
        <v/>
      </c>
      <c r="K167" s="14">
        <f>J167*I167</f>
        <v/>
      </c>
      <c r="L167" s="14">
        <f>IF(G167="Yes",(1-(1-F167*(1-Assumptions!$B$6))^(Assumptions!$B$4/12))*I167,K167)</f>
        <v/>
      </c>
    </row>
    <row r="168">
      <c r="A168" s="9" t="inlineStr">
        <is>
          <t>DF-100228</t>
        </is>
      </c>
      <c r="B168" s="9" t="inlineStr">
        <is>
          <t>Support</t>
        </is>
      </c>
      <c r="C168" s="9" t="inlineStr">
        <is>
          <t>L2 - Mid</t>
        </is>
      </c>
      <c r="D168" s="10" t="n">
        <v>58582</v>
      </c>
      <c r="E168" s="11" t="n">
        <v>41</v>
      </c>
      <c r="F168" s="12">
        <f>E168/100</f>
        <v/>
      </c>
      <c r="G168" s="9" t="inlineStr">
        <is>
          <t>No</t>
        </is>
      </c>
      <c r="H168" s="13">
        <f>VLOOKUP(C168,Assumptions!$A$10:$B$15,2,FALSE)</f>
        <v/>
      </c>
      <c r="I168" s="14">
        <f>D168*H168</f>
        <v/>
      </c>
      <c r="J168" s="12">
        <f>1-(1-F168)^(Assumptions!$B$4/12)</f>
        <v/>
      </c>
      <c r="K168" s="14">
        <f>J168*I168</f>
        <v/>
      </c>
      <c r="L168" s="14">
        <f>IF(G168="Yes",(1-(1-F168*(1-Assumptions!$B$6))^(Assumptions!$B$4/12))*I168,K168)</f>
        <v/>
      </c>
    </row>
    <row r="169">
      <c r="A169" s="9" t="inlineStr">
        <is>
          <t>DF-100188</t>
        </is>
      </c>
      <c r="B169" s="9" t="inlineStr">
        <is>
          <t>Engineering</t>
        </is>
      </c>
      <c r="C169" s="9" t="inlineStr">
        <is>
          <t>L5 - Manager</t>
        </is>
      </c>
      <c r="D169" s="10" t="n">
        <v>138500</v>
      </c>
      <c r="E169" s="11" t="n">
        <v>40.9</v>
      </c>
      <c r="F169" s="12">
        <f>E169/100</f>
        <v/>
      </c>
      <c r="G169" s="9" t="inlineStr">
        <is>
          <t>No</t>
        </is>
      </c>
      <c r="H169" s="13">
        <f>VLOOKUP(C169,Assumptions!$A$10:$B$15,2,FALSE)</f>
        <v/>
      </c>
      <c r="I169" s="14">
        <f>D169*H169</f>
        <v/>
      </c>
      <c r="J169" s="12">
        <f>1-(1-F169)^(Assumptions!$B$4/12)</f>
        <v/>
      </c>
      <c r="K169" s="14">
        <f>J169*I169</f>
        <v/>
      </c>
      <c r="L169" s="14">
        <f>IF(G169="Yes",(1-(1-F169*(1-Assumptions!$B$6))^(Assumptions!$B$4/12))*I169,K169)</f>
        <v/>
      </c>
    </row>
    <row r="170">
      <c r="A170" s="9" t="inlineStr">
        <is>
          <t>DF-100467</t>
        </is>
      </c>
      <c r="B170" s="9" t="inlineStr">
        <is>
          <t>Data &amp; Analytics</t>
        </is>
      </c>
      <c r="C170" s="9" t="inlineStr">
        <is>
          <t>L4 - Lead</t>
        </is>
      </c>
      <c r="D170" s="10" t="n">
        <v>107612</v>
      </c>
      <c r="E170" s="11" t="n">
        <v>40.6</v>
      </c>
      <c r="F170" s="12">
        <f>E170/100</f>
        <v/>
      </c>
      <c r="G170" s="9" t="inlineStr">
        <is>
          <t>No</t>
        </is>
      </c>
      <c r="H170" s="13">
        <f>VLOOKUP(C170,Assumptions!$A$10:$B$15,2,FALSE)</f>
        <v/>
      </c>
      <c r="I170" s="14">
        <f>D170*H170</f>
        <v/>
      </c>
      <c r="J170" s="12">
        <f>1-(1-F170)^(Assumptions!$B$4/12)</f>
        <v/>
      </c>
      <c r="K170" s="14">
        <f>J170*I170</f>
        <v/>
      </c>
      <c r="L170" s="14">
        <f>IF(G170="Yes",(1-(1-F170*(1-Assumptions!$B$6))^(Assumptions!$B$4/12))*I170,K170)</f>
        <v/>
      </c>
    </row>
    <row r="171">
      <c r="A171" s="9" t="inlineStr">
        <is>
          <t>DF-100262</t>
        </is>
      </c>
      <c r="B171" s="9" t="inlineStr">
        <is>
          <t>Sales</t>
        </is>
      </c>
      <c r="C171" s="9" t="inlineStr">
        <is>
          <t>L2 - Mid</t>
        </is>
      </c>
      <c r="D171" s="10" t="n">
        <v>85378</v>
      </c>
      <c r="E171" s="11" t="n">
        <v>40.6</v>
      </c>
      <c r="F171" s="12">
        <f>E171/100</f>
        <v/>
      </c>
      <c r="G171" s="9" t="inlineStr">
        <is>
          <t>No</t>
        </is>
      </c>
      <c r="H171" s="13">
        <f>VLOOKUP(C171,Assumptions!$A$10:$B$15,2,FALSE)</f>
        <v/>
      </c>
      <c r="I171" s="14">
        <f>D171*H171</f>
        <v/>
      </c>
      <c r="J171" s="12">
        <f>1-(1-F171)^(Assumptions!$B$4/12)</f>
        <v/>
      </c>
      <c r="K171" s="14">
        <f>J171*I171</f>
        <v/>
      </c>
      <c r="L171" s="14">
        <f>IF(G171="Yes",(1-(1-F171*(1-Assumptions!$B$6))^(Assumptions!$B$4/12))*I171,K171)</f>
        <v/>
      </c>
    </row>
    <row r="172">
      <c r="A172" s="9" t="inlineStr">
        <is>
          <t>DF-100124</t>
        </is>
      </c>
      <c r="B172" s="9" t="inlineStr">
        <is>
          <t>Product</t>
        </is>
      </c>
      <c r="C172" s="9" t="inlineStr">
        <is>
          <t>L2 - Mid</t>
        </is>
      </c>
      <c r="D172" s="10" t="n">
        <v>62762</v>
      </c>
      <c r="E172" s="11" t="n">
        <v>40.6</v>
      </c>
      <c r="F172" s="12">
        <f>E172/100</f>
        <v/>
      </c>
      <c r="G172" s="9" t="inlineStr">
        <is>
          <t>No</t>
        </is>
      </c>
      <c r="H172" s="13">
        <f>VLOOKUP(C172,Assumptions!$A$10:$B$15,2,FALSE)</f>
        <v/>
      </c>
      <c r="I172" s="14">
        <f>D172*H172</f>
        <v/>
      </c>
      <c r="J172" s="12">
        <f>1-(1-F172)^(Assumptions!$B$4/12)</f>
        <v/>
      </c>
      <c r="K172" s="14">
        <f>J172*I172</f>
        <v/>
      </c>
      <c r="L172" s="14">
        <f>IF(G172="Yes",(1-(1-F172*(1-Assumptions!$B$6))^(Assumptions!$B$4/12))*I172,K172)</f>
        <v/>
      </c>
    </row>
    <row r="173">
      <c r="A173" s="9" t="inlineStr">
        <is>
          <t>DF-100086</t>
        </is>
      </c>
      <c r="B173" s="9" t="inlineStr">
        <is>
          <t>Engineering</t>
        </is>
      </c>
      <c r="C173" s="9" t="inlineStr">
        <is>
          <t>L1 - Junior</t>
        </is>
      </c>
      <c r="D173" s="10" t="n">
        <v>52549</v>
      </c>
      <c r="E173" s="11" t="n">
        <v>40.4</v>
      </c>
      <c r="F173" s="12">
        <f>E173/100</f>
        <v/>
      </c>
      <c r="G173" s="9" t="inlineStr">
        <is>
          <t>No</t>
        </is>
      </c>
      <c r="H173" s="13">
        <f>VLOOKUP(C173,Assumptions!$A$10:$B$15,2,FALSE)</f>
        <v/>
      </c>
      <c r="I173" s="14">
        <f>D173*H173</f>
        <v/>
      </c>
      <c r="J173" s="12">
        <f>1-(1-F173)^(Assumptions!$B$4/12)</f>
        <v/>
      </c>
      <c r="K173" s="14">
        <f>J173*I173</f>
        <v/>
      </c>
      <c r="L173" s="14">
        <f>IF(G173="Yes",(1-(1-F173*(1-Assumptions!$B$6))^(Assumptions!$B$4/12))*I173,K173)</f>
        <v/>
      </c>
    </row>
    <row r="174">
      <c r="A174" s="9" t="inlineStr">
        <is>
          <t>DF-100246</t>
        </is>
      </c>
      <c r="B174" s="9" t="inlineStr">
        <is>
          <t>Support</t>
        </is>
      </c>
      <c r="C174" s="9" t="inlineStr">
        <is>
          <t>L4 - Lead</t>
        </is>
      </c>
      <c r="D174" s="10" t="n">
        <v>73072</v>
      </c>
      <c r="E174" s="11" t="n">
        <v>40.3</v>
      </c>
      <c r="F174" s="12">
        <f>E174/100</f>
        <v/>
      </c>
      <c r="G174" s="9" t="inlineStr">
        <is>
          <t>No</t>
        </is>
      </c>
      <c r="H174" s="13">
        <f>VLOOKUP(C174,Assumptions!$A$10:$B$15,2,FALSE)</f>
        <v/>
      </c>
      <c r="I174" s="14">
        <f>D174*H174</f>
        <v/>
      </c>
      <c r="J174" s="12">
        <f>1-(1-F174)^(Assumptions!$B$4/12)</f>
        <v/>
      </c>
      <c r="K174" s="14">
        <f>J174*I174</f>
        <v/>
      </c>
      <c r="L174" s="14">
        <f>IF(G174="Yes",(1-(1-F174*(1-Assumptions!$B$6))^(Assumptions!$B$4/12))*I174,K174)</f>
        <v/>
      </c>
    </row>
    <row r="175">
      <c r="A175" s="9" t="inlineStr">
        <is>
          <t>DF-100008</t>
        </is>
      </c>
      <c r="B175" s="9" t="inlineStr">
        <is>
          <t>Product</t>
        </is>
      </c>
      <c r="C175" s="9" t="inlineStr">
        <is>
          <t>L3 - Senior</t>
        </is>
      </c>
      <c r="D175" s="10" t="n">
        <v>98877</v>
      </c>
      <c r="E175" s="11" t="n">
        <v>40.2</v>
      </c>
      <c r="F175" s="12">
        <f>E175/100</f>
        <v/>
      </c>
      <c r="G175" s="9" t="inlineStr">
        <is>
          <t>No</t>
        </is>
      </c>
      <c r="H175" s="13">
        <f>VLOOKUP(C175,Assumptions!$A$10:$B$15,2,FALSE)</f>
        <v/>
      </c>
      <c r="I175" s="14">
        <f>D175*H175</f>
        <v/>
      </c>
      <c r="J175" s="12">
        <f>1-(1-F175)^(Assumptions!$B$4/12)</f>
        <v/>
      </c>
      <c r="K175" s="14">
        <f>J175*I175</f>
        <v/>
      </c>
      <c r="L175" s="14">
        <f>IF(G175="Yes",(1-(1-F175*(1-Assumptions!$B$6))^(Assumptions!$B$4/12))*I175,K175)</f>
        <v/>
      </c>
    </row>
    <row r="176">
      <c r="A176" s="9" t="inlineStr">
        <is>
          <t>DF-100208</t>
        </is>
      </c>
      <c r="B176" s="9" t="inlineStr">
        <is>
          <t>Support</t>
        </is>
      </c>
      <c r="C176" s="9" t="inlineStr">
        <is>
          <t>L1 - Junior</t>
        </is>
      </c>
      <c r="D176" s="10" t="n">
        <v>46240</v>
      </c>
      <c r="E176" s="11" t="n">
        <v>40.1</v>
      </c>
      <c r="F176" s="12">
        <f>E176/100</f>
        <v/>
      </c>
      <c r="G176" s="9" t="inlineStr">
        <is>
          <t>No</t>
        </is>
      </c>
      <c r="H176" s="13">
        <f>VLOOKUP(C176,Assumptions!$A$10:$B$15,2,FALSE)</f>
        <v/>
      </c>
      <c r="I176" s="14">
        <f>D176*H176</f>
        <v/>
      </c>
      <c r="J176" s="12">
        <f>1-(1-F176)^(Assumptions!$B$4/12)</f>
        <v/>
      </c>
      <c r="K176" s="14">
        <f>J176*I176</f>
        <v/>
      </c>
      <c r="L176" s="14">
        <f>IF(G176="Yes",(1-(1-F176*(1-Assumptions!$B$6))^(Assumptions!$B$4/12))*I176,K176)</f>
        <v/>
      </c>
    </row>
    <row r="177">
      <c r="A177" s="9" t="inlineStr">
        <is>
          <t>DF-100614</t>
        </is>
      </c>
      <c r="B177" s="9" t="inlineStr">
        <is>
          <t>Support</t>
        </is>
      </c>
      <c r="C177" s="9" t="inlineStr">
        <is>
          <t>L2 - Mid</t>
        </is>
      </c>
      <c r="D177" s="10" t="n">
        <v>51721</v>
      </c>
      <c r="E177" s="11" t="n">
        <v>39.9</v>
      </c>
      <c r="F177" s="12">
        <f>E177/100</f>
        <v/>
      </c>
      <c r="G177" s="9" t="inlineStr">
        <is>
          <t>No</t>
        </is>
      </c>
      <c r="H177" s="13">
        <f>VLOOKUP(C177,Assumptions!$A$10:$B$15,2,FALSE)</f>
        <v/>
      </c>
      <c r="I177" s="14">
        <f>D177*H177</f>
        <v/>
      </c>
      <c r="J177" s="12">
        <f>1-(1-F177)^(Assumptions!$B$4/12)</f>
        <v/>
      </c>
      <c r="K177" s="14">
        <f>J177*I177</f>
        <v/>
      </c>
      <c r="L177" s="14">
        <f>IF(G177="Yes",(1-(1-F177*(1-Assumptions!$B$6))^(Assumptions!$B$4/12))*I177,K177)</f>
        <v/>
      </c>
    </row>
    <row r="178">
      <c r="A178" s="9" t="inlineStr">
        <is>
          <t>DF-100040</t>
        </is>
      </c>
      <c r="B178" s="9" t="inlineStr">
        <is>
          <t>Product</t>
        </is>
      </c>
      <c r="C178" s="9" t="inlineStr">
        <is>
          <t>L6 - Director</t>
        </is>
      </c>
      <c r="D178" s="10" t="n">
        <v>191967</v>
      </c>
      <c r="E178" s="11" t="n">
        <v>39.9</v>
      </c>
      <c r="F178" s="12">
        <f>E178/100</f>
        <v/>
      </c>
      <c r="G178" s="9" t="inlineStr">
        <is>
          <t>No</t>
        </is>
      </c>
      <c r="H178" s="13">
        <f>VLOOKUP(C178,Assumptions!$A$10:$B$15,2,FALSE)</f>
        <v/>
      </c>
      <c r="I178" s="14">
        <f>D178*H178</f>
        <v/>
      </c>
      <c r="J178" s="12">
        <f>1-(1-F178)^(Assumptions!$B$4/12)</f>
        <v/>
      </c>
      <c r="K178" s="14">
        <f>J178*I178</f>
        <v/>
      </c>
      <c r="L178" s="14">
        <f>IF(G178="Yes",(1-(1-F178*(1-Assumptions!$B$6))^(Assumptions!$B$4/12))*I178,K178)</f>
        <v/>
      </c>
    </row>
    <row r="179">
      <c r="A179" s="9" t="inlineStr">
        <is>
          <t>DF-100385</t>
        </is>
      </c>
      <c r="B179" s="9" t="inlineStr">
        <is>
          <t>Finance</t>
        </is>
      </c>
      <c r="C179" s="9" t="inlineStr">
        <is>
          <t>L1 - Junior</t>
        </is>
      </c>
      <c r="D179" s="10" t="n">
        <v>49466</v>
      </c>
      <c r="E179" s="11" t="n">
        <v>39.6</v>
      </c>
      <c r="F179" s="12">
        <f>E179/100</f>
        <v/>
      </c>
      <c r="G179" s="9" t="inlineStr">
        <is>
          <t>No</t>
        </is>
      </c>
      <c r="H179" s="13">
        <f>VLOOKUP(C179,Assumptions!$A$10:$B$15,2,FALSE)</f>
        <v/>
      </c>
      <c r="I179" s="14">
        <f>D179*H179</f>
        <v/>
      </c>
      <c r="J179" s="12">
        <f>1-(1-F179)^(Assumptions!$B$4/12)</f>
        <v/>
      </c>
      <c r="K179" s="14">
        <f>J179*I179</f>
        <v/>
      </c>
      <c r="L179" s="14">
        <f>IF(G179="Yes",(1-(1-F179*(1-Assumptions!$B$6))^(Assumptions!$B$4/12))*I179,K179)</f>
        <v/>
      </c>
    </row>
    <row r="180">
      <c r="A180" s="9" t="inlineStr">
        <is>
          <t>DF-100057</t>
        </is>
      </c>
      <c r="B180" s="9" t="inlineStr">
        <is>
          <t>Engineering</t>
        </is>
      </c>
      <c r="C180" s="9" t="inlineStr">
        <is>
          <t>L2 - Mid</t>
        </is>
      </c>
      <c r="D180" s="10" t="n">
        <v>75647</v>
      </c>
      <c r="E180" s="11" t="n">
        <v>39.5</v>
      </c>
      <c r="F180" s="12">
        <f>E180/100</f>
        <v/>
      </c>
      <c r="G180" s="9" t="inlineStr">
        <is>
          <t>No</t>
        </is>
      </c>
      <c r="H180" s="13">
        <f>VLOOKUP(C180,Assumptions!$A$10:$B$15,2,FALSE)</f>
        <v/>
      </c>
      <c r="I180" s="14">
        <f>D180*H180</f>
        <v/>
      </c>
      <c r="J180" s="12">
        <f>1-(1-F180)^(Assumptions!$B$4/12)</f>
        <v/>
      </c>
      <c r="K180" s="14">
        <f>J180*I180</f>
        <v/>
      </c>
      <c r="L180" s="14">
        <f>IF(G180="Yes",(1-(1-F180*(1-Assumptions!$B$6))^(Assumptions!$B$4/12))*I180,K180)</f>
        <v/>
      </c>
    </row>
    <row r="181">
      <c r="A181" s="9" t="inlineStr">
        <is>
          <t>DF-100472</t>
        </is>
      </c>
      <c r="B181" s="9" t="inlineStr">
        <is>
          <t>Data &amp; Analytics</t>
        </is>
      </c>
      <c r="C181" s="9" t="inlineStr">
        <is>
          <t>L1 - Junior</t>
        </is>
      </c>
      <c r="D181" s="10" t="n">
        <v>59453</v>
      </c>
      <c r="E181" s="11" t="n">
        <v>39.3</v>
      </c>
      <c r="F181" s="12">
        <f>E181/100</f>
        <v/>
      </c>
      <c r="G181" s="9" t="inlineStr">
        <is>
          <t>No</t>
        </is>
      </c>
      <c r="H181" s="13">
        <f>VLOOKUP(C181,Assumptions!$A$10:$B$15,2,FALSE)</f>
        <v/>
      </c>
      <c r="I181" s="14">
        <f>D181*H181</f>
        <v/>
      </c>
      <c r="J181" s="12">
        <f>1-(1-F181)^(Assumptions!$B$4/12)</f>
        <v/>
      </c>
      <c r="K181" s="14">
        <f>J181*I181</f>
        <v/>
      </c>
      <c r="L181" s="14">
        <f>IF(G181="Yes",(1-(1-F181*(1-Assumptions!$B$6))^(Assumptions!$B$4/12))*I181,K181)</f>
        <v/>
      </c>
    </row>
    <row r="182">
      <c r="A182" s="9" t="inlineStr">
        <is>
          <t>DF-100203</t>
        </is>
      </c>
      <c r="B182" s="9" t="inlineStr">
        <is>
          <t>Marketing</t>
        </is>
      </c>
      <c r="C182" s="9" t="inlineStr">
        <is>
          <t>L1 - Junior</t>
        </is>
      </c>
      <c r="D182" s="10" t="n">
        <v>47408</v>
      </c>
      <c r="E182" s="11" t="n">
        <v>39.1</v>
      </c>
      <c r="F182" s="12">
        <f>E182/100</f>
        <v/>
      </c>
      <c r="G182" s="9" t="inlineStr">
        <is>
          <t>No</t>
        </is>
      </c>
      <c r="H182" s="13">
        <f>VLOOKUP(C182,Assumptions!$A$10:$B$15,2,FALSE)</f>
        <v/>
      </c>
      <c r="I182" s="14">
        <f>D182*H182</f>
        <v/>
      </c>
      <c r="J182" s="12">
        <f>1-(1-F182)^(Assumptions!$B$4/12)</f>
        <v/>
      </c>
      <c r="K182" s="14">
        <f>J182*I182</f>
        <v/>
      </c>
      <c r="L182" s="14">
        <f>IF(G182="Yes",(1-(1-F182*(1-Assumptions!$B$6))^(Assumptions!$B$4/12))*I182,K182)</f>
        <v/>
      </c>
    </row>
    <row r="183">
      <c r="A183" s="9" t="inlineStr">
        <is>
          <t>DF-100010</t>
        </is>
      </c>
      <c r="B183" s="9" t="inlineStr">
        <is>
          <t>Sales</t>
        </is>
      </c>
      <c r="C183" s="9" t="inlineStr">
        <is>
          <t>L2 - Mid</t>
        </is>
      </c>
      <c r="D183" s="10" t="n">
        <v>74564</v>
      </c>
      <c r="E183" s="11" t="n">
        <v>39</v>
      </c>
      <c r="F183" s="12">
        <f>E183/100</f>
        <v/>
      </c>
      <c r="G183" s="9" t="inlineStr">
        <is>
          <t>No</t>
        </is>
      </c>
      <c r="H183" s="13">
        <f>VLOOKUP(C183,Assumptions!$A$10:$B$15,2,FALSE)</f>
        <v/>
      </c>
      <c r="I183" s="14">
        <f>D183*H183</f>
        <v/>
      </c>
      <c r="J183" s="12">
        <f>1-(1-F183)^(Assumptions!$B$4/12)</f>
        <v/>
      </c>
      <c r="K183" s="14">
        <f>J183*I183</f>
        <v/>
      </c>
      <c r="L183" s="14">
        <f>IF(G183="Yes",(1-(1-F183*(1-Assumptions!$B$6))^(Assumptions!$B$4/12))*I183,K183)</f>
        <v/>
      </c>
    </row>
    <row r="184">
      <c r="A184" s="9" t="inlineStr">
        <is>
          <t>DF-100077</t>
        </is>
      </c>
      <c r="B184" s="9" t="inlineStr">
        <is>
          <t>Operations</t>
        </is>
      </c>
      <c r="C184" s="9" t="inlineStr">
        <is>
          <t>L2 - Mid</t>
        </is>
      </c>
      <c r="D184" s="10" t="n">
        <v>57670</v>
      </c>
      <c r="E184" s="11" t="n">
        <v>38.9</v>
      </c>
      <c r="F184" s="12">
        <f>E184/100</f>
        <v/>
      </c>
      <c r="G184" s="9" t="inlineStr">
        <is>
          <t>No</t>
        </is>
      </c>
      <c r="H184" s="13">
        <f>VLOOKUP(C184,Assumptions!$A$10:$B$15,2,FALSE)</f>
        <v/>
      </c>
      <c r="I184" s="14">
        <f>D184*H184</f>
        <v/>
      </c>
      <c r="J184" s="12">
        <f>1-(1-F184)^(Assumptions!$B$4/12)</f>
        <v/>
      </c>
      <c r="K184" s="14">
        <f>J184*I184</f>
        <v/>
      </c>
      <c r="L184" s="14">
        <f>IF(G184="Yes",(1-(1-F184*(1-Assumptions!$B$6))^(Assumptions!$B$4/12))*I184,K184)</f>
        <v/>
      </c>
    </row>
    <row r="185">
      <c r="A185" s="9" t="inlineStr">
        <is>
          <t>DF-100440</t>
        </is>
      </c>
      <c r="B185" s="9" t="inlineStr">
        <is>
          <t>Marketing</t>
        </is>
      </c>
      <c r="C185" s="9" t="inlineStr">
        <is>
          <t>L3 - Senior</t>
        </is>
      </c>
      <c r="D185" s="10" t="n">
        <v>95721</v>
      </c>
      <c r="E185" s="11" t="n">
        <v>38.7</v>
      </c>
      <c r="F185" s="12">
        <f>E185/100</f>
        <v/>
      </c>
      <c r="G185" s="9" t="inlineStr">
        <is>
          <t>No</t>
        </is>
      </c>
      <c r="H185" s="13">
        <f>VLOOKUP(C185,Assumptions!$A$10:$B$15,2,FALSE)</f>
        <v/>
      </c>
      <c r="I185" s="14">
        <f>D185*H185</f>
        <v/>
      </c>
      <c r="J185" s="12">
        <f>1-(1-F185)^(Assumptions!$B$4/12)</f>
        <v/>
      </c>
      <c r="K185" s="14">
        <f>J185*I185</f>
        <v/>
      </c>
      <c r="L185" s="14">
        <f>IF(G185="Yes",(1-(1-F185*(1-Assumptions!$B$6))^(Assumptions!$B$4/12))*I185,K185)</f>
        <v/>
      </c>
    </row>
    <row r="186">
      <c r="A186" s="9" t="inlineStr">
        <is>
          <t>DF-100247</t>
        </is>
      </c>
      <c r="B186" s="9" t="inlineStr">
        <is>
          <t>Data &amp; Analytics</t>
        </is>
      </c>
      <c r="C186" s="9" t="inlineStr">
        <is>
          <t>L1 - Junior</t>
        </is>
      </c>
      <c r="D186" s="10" t="n">
        <v>59211</v>
      </c>
      <c r="E186" s="11" t="n">
        <v>38.7</v>
      </c>
      <c r="F186" s="12">
        <f>E186/100</f>
        <v/>
      </c>
      <c r="G186" s="9" t="inlineStr">
        <is>
          <t>No</t>
        </is>
      </c>
      <c r="H186" s="13">
        <f>VLOOKUP(C186,Assumptions!$A$10:$B$15,2,FALSE)</f>
        <v/>
      </c>
      <c r="I186" s="14">
        <f>D186*H186</f>
        <v/>
      </c>
      <c r="J186" s="12">
        <f>1-(1-F186)^(Assumptions!$B$4/12)</f>
        <v/>
      </c>
      <c r="K186" s="14">
        <f>J186*I186</f>
        <v/>
      </c>
      <c r="L186" s="14">
        <f>IF(G186="Yes",(1-(1-F186*(1-Assumptions!$B$6))^(Assumptions!$B$4/12))*I186,K186)</f>
        <v/>
      </c>
    </row>
    <row r="187">
      <c r="A187" s="9" t="inlineStr">
        <is>
          <t>DF-100548</t>
        </is>
      </c>
      <c r="B187" s="9" t="inlineStr">
        <is>
          <t>Data &amp; Analytics</t>
        </is>
      </c>
      <c r="C187" s="9" t="inlineStr">
        <is>
          <t>L5 - Manager</t>
        </is>
      </c>
      <c r="D187" s="10" t="n">
        <v>144470</v>
      </c>
      <c r="E187" s="11" t="n">
        <v>38.7</v>
      </c>
      <c r="F187" s="12">
        <f>E187/100</f>
        <v/>
      </c>
      <c r="G187" s="9" t="inlineStr">
        <is>
          <t>No</t>
        </is>
      </c>
      <c r="H187" s="13">
        <f>VLOOKUP(C187,Assumptions!$A$10:$B$15,2,FALSE)</f>
        <v/>
      </c>
      <c r="I187" s="14">
        <f>D187*H187</f>
        <v/>
      </c>
      <c r="J187" s="12">
        <f>1-(1-F187)^(Assumptions!$B$4/12)</f>
        <v/>
      </c>
      <c r="K187" s="14">
        <f>J187*I187</f>
        <v/>
      </c>
      <c r="L187" s="14">
        <f>IF(G187="Yes",(1-(1-F187*(1-Assumptions!$B$6))^(Assumptions!$B$4/12))*I187,K187)</f>
        <v/>
      </c>
    </row>
    <row r="188">
      <c r="A188" s="9" t="inlineStr">
        <is>
          <t>DF-100602</t>
        </is>
      </c>
      <c r="B188" s="9" t="inlineStr">
        <is>
          <t>Finance</t>
        </is>
      </c>
      <c r="C188" s="9" t="inlineStr">
        <is>
          <t>L2 - Mid</t>
        </is>
      </c>
      <c r="D188" s="10" t="n">
        <v>59045</v>
      </c>
      <c r="E188" s="11" t="n">
        <v>38.5</v>
      </c>
      <c r="F188" s="12">
        <f>E188/100</f>
        <v/>
      </c>
      <c r="G188" s="9" t="inlineStr">
        <is>
          <t>No</t>
        </is>
      </c>
      <c r="H188" s="13">
        <f>VLOOKUP(C188,Assumptions!$A$10:$B$15,2,FALSE)</f>
        <v/>
      </c>
      <c r="I188" s="14">
        <f>D188*H188</f>
        <v/>
      </c>
      <c r="J188" s="12">
        <f>1-(1-F188)^(Assumptions!$B$4/12)</f>
        <v/>
      </c>
      <c r="K188" s="14">
        <f>J188*I188</f>
        <v/>
      </c>
      <c r="L188" s="14">
        <f>IF(G188="Yes",(1-(1-F188*(1-Assumptions!$B$6))^(Assumptions!$B$4/12))*I188,K188)</f>
        <v/>
      </c>
    </row>
    <row r="189">
      <c r="A189" s="9" t="inlineStr">
        <is>
          <t>DF-100015</t>
        </is>
      </c>
      <c r="B189" s="9" t="inlineStr">
        <is>
          <t>Finance</t>
        </is>
      </c>
      <c r="C189" s="9" t="inlineStr">
        <is>
          <t>L2 - Mid</t>
        </is>
      </c>
      <c r="D189" s="10" t="n">
        <v>53676</v>
      </c>
      <c r="E189" s="11" t="n">
        <v>38.4</v>
      </c>
      <c r="F189" s="12">
        <f>E189/100</f>
        <v/>
      </c>
      <c r="G189" s="9" t="inlineStr">
        <is>
          <t>No</t>
        </is>
      </c>
      <c r="H189" s="13">
        <f>VLOOKUP(C189,Assumptions!$A$10:$B$15,2,FALSE)</f>
        <v/>
      </c>
      <c r="I189" s="14">
        <f>D189*H189</f>
        <v/>
      </c>
      <c r="J189" s="12">
        <f>1-(1-F189)^(Assumptions!$B$4/12)</f>
        <v/>
      </c>
      <c r="K189" s="14">
        <f>J189*I189</f>
        <v/>
      </c>
      <c r="L189" s="14">
        <f>IF(G189="Yes",(1-(1-F189*(1-Assumptions!$B$6))^(Assumptions!$B$4/12))*I189,K189)</f>
        <v/>
      </c>
    </row>
    <row r="190">
      <c r="A190" s="9" t="inlineStr">
        <is>
          <t>DF-100150</t>
        </is>
      </c>
      <c r="B190" s="9" t="inlineStr">
        <is>
          <t>Finance</t>
        </is>
      </c>
      <c r="C190" s="9" t="inlineStr">
        <is>
          <t>L5 - Manager</t>
        </is>
      </c>
      <c r="D190" s="10" t="n">
        <v>126287</v>
      </c>
      <c r="E190" s="11" t="n">
        <v>38.3</v>
      </c>
      <c r="F190" s="12">
        <f>E190/100</f>
        <v/>
      </c>
      <c r="G190" s="9" t="inlineStr">
        <is>
          <t>No</t>
        </is>
      </c>
      <c r="H190" s="13">
        <f>VLOOKUP(C190,Assumptions!$A$10:$B$15,2,FALSE)</f>
        <v/>
      </c>
      <c r="I190" s="14">
        <f>D190*H190</f>
        <v/>
      </c>
      <c r="J190" s="12">
        <f>1-(1-F190)^(Assumptions!$B$4/12)</f>
        <v/>
      </c>
      <c r="K190" s="14">
        <f>J190*I190</f>
        <v/>
      </c>
      <c r="L190" s="14">
        <f>IF(G190="Yes",(1-(1-F190*(1-Assumptions!$B$6))^(Assumptions!$B$4/12))*I190,K190)</f>
        <v/>
      </c>
    </row>
    <row r="191">
      <c r="A191" s="9" t="inlineStr">
        <is>
          <t>DF-100183</t>
        </is>
      </c>
      <c r="B191" s="9" t="inlineStr">
        <is>
          <t>Operations</t>
        </is>
      </c>
      <c r="C191" s="9" t="inlineStr">
        <is>
          <t>L2 - Mid</t>
        </is>
      </c>
      <c r="D191" s="10" t="n">
        <v>62392</v>
      </c>
      <c r="E191" s="11" t="n">
        <v>38.3</v>
      </c>
      <c r="F191" s="12">
        <f>E191/100</f>
        <v/>
      </c>
      <c r="G191" s="9" t="inlineStr">
        <is>
          <t>No</t>
        </is>
      </c>
      <c r="H191" s="13">
        <f>VLOOKUP(C191,Assumptions!$A$10:$B$15,2,FALSE)</f>
        <v/>
      </c>
      <c r="I191" s="14">
        <f>D191*H191</f>
        <v/>
      </c>
      <c r="J191" s="12">
        <f>1-(1-F191)^(Assumptions!$B$4/12)</f>
        <v/>
      </c>
      <c r="K191" s="14">
        <f>J191*I191</f>
        <v/>
      </c>
      <c r="L191" s="14">
        <f>IF(G191="Yes",(1-(1-F191*(1-Assumptions!$B$6))^(Assumptions!$B$4/12))*I191,K191)</f>
        <v/>
      </c>
    </row>
    <row r="192">
      <c r="A192" s="9" t="inlineStr">
        <is>
          <t>DF-100197</t>
        </is>
      </c>
      <c r="B192" s="9" t="inlineStr">
        <is>
          <t>Engineering</t>
        </is>
      </c>
      <c r="C192" s="9" t="inlineStr">
        <is>
          <t>L1 - Junior</t>
        </is>
      </c>
      <c r="D192" s="10" t="n">
        <v>45463</v>
      </c>
      <c r="E192" s="11" t="n">
        <v>38.2</v>
      </c>
      <c r="F192" s="12">
        <f>E192/100</f>
        <v/>
      </c>
      <c r="G192" s="9" t="inlineStr">
        <is>
          <t>No</t>
        </is>
      </c>
      <c r="H192" s="13">
        <f>VLOOKUP(C192,Assumptions!$A$10:$B$15,2,FALSE)</f>
        <v/>
      </c>
      <c r="I192" s="14">
        <f>D192*H192</f>
        <v/>
      </c>
      <c r="J192" s="12">
        <f>1-(1-F192)^(Assumptions!$B$4/12)</f>
        <v/>
      </c>
      <c r="K192" s="14">
        <f>J192*I192</f>
        <v/>
      </c>
      <c r="L192" s="14">
        <f>IF(G192="Yes",(1-(1-F192*(1-Assumptions!$B$6))^(Assumptions!$B$4/12))*I192,K192)</f>
        <v/>
      </c>
    </row>
    <row r="193">
      <c r="A193" s="9" t="inlineStr">
        <is>
          <t>DF-100558</t>
        </is>
      </c>
      <c r="B193" s="9" t="inlineStr">
        <is>
          <t>Engineering</t>
        </is>
      </c>
      <c r="C193" s="9" t="inlineStr">
        <is>
          <t>L5 - Manager</t>
        </is>
      </c>
      <c r="D193" s="10" t="n">
        <v>135307</v>
      </c>
      <c r="E193" s="11" t="n">
        <v>38.2</v>
      </c>
      <c r="F193" s="12">
        <f>E193/100</f>
        <v/>
      </c>
      <c r="G193" s="9" t="inlineStr">
        <is>
          <t>No</t>
        </is>
      </c>
      <c r="H193" s="13">
        <f>VLOOKUP(C193,Assumptions!$A$10:$B$15,2,FALSE)</f>
        <v/>
      </c>
      <c r="I193" s="14">
        <f>D193*H193</f>
        <v/>
      </c>
      <c r="J193" s="12">
        <f>1-(1-F193)^(Assumptions!$B$4/12)</f>
        <v/>
      </c>
      <c r="K193" s="14">
        <f>J193*I193</f>
        <v/>
      </c>
      <c r="L193" s="14">
        <f>IF(G193="Yes",(1-(1-F193*(1-Assumptions!$B$6))^(Assumptions!$B$4/12))*I193,K193)</f>
        <v/>
      </c>
    </row>
    <row r="194">
      <c r="A194" s="9" t="inlineStr">
        <is>
          <t>DF-100469</t>
        </is>
      </c>
      <c r="B194" s="9" t="inlineStr">
        <is>
          <t>Engineering</t>
        </is>
      </c>
      <c r="C194" s="9" t="inlineStr">
        <is>
          <t>L1 - Junior</t>
        </is>
      </c>
      <c r="D194" s="10" t="n">
        <v>69107</v>
      </c>
      <c r="E194" s="11" t="n">
        <v>38.1</v>
      </c>
      <c r="F194" s="12">
        <f>E194/100</f>
        <v/>
      </c>
      <c r="G194" s="9" t="inlineStr">
        <is>
          <t>No</t>
        </is>
      </c>
      <c r="H194" s="13">
        <f>VLOOKUP(C194,Assumptions!$A$10:$B$15,2,FALSE)</f>
        <v/>
      </c>
      <c r="I194" s="14">
        <f>D194*H194</f>
        <v/>
      </c>
      <c r="J194" s="12">
        <f>1-(1-F194)^(Assumptions!$B$4/12)</f>
        <v/>
      </c>
      <c r="K194" s="14">
        <f>J194*I194</f>
        <v/>
      </c>
      <c r="L194" s="14">
        <f>IF(G194="Yes",(1-(1-F194*(1-Assumptions!$B$6))^(Assumptions!$B$4/12))*I194,K194)</f>
        <v/>
      </c>
    </row>
    <row r="195">
      <c r="A195" s="9" t="inlineStr">
        <is>
          <t>DF-100661</t>
        </is>
      </c>
      <c r="B195" s="9" t="inlineStr">
        <is>
          <t>People/HR</t>
        </is>
      </c>
      <c r="C195" s="9" t="inlineStr">
        <is>
          <t>L2 - Mid</t>
        </is>
      </c>
      <c r="D195" s="10" t="n">
        <v>61104</v>
      </c>
      <c r="E195" s="11" t="n">
        <v>38.1</v>
      </c>
      <c r="F195" s="12">
        <f>E195/100</f>
        <v/>
      </c>
      <c r="G195" s="9" t="inlineStr">
        <is>
          <t>No</t>
        </is>
      </c>
      <c r="H195" s="13">
        <f>VLOOKUP(C195,Assumptions!$A$10:$B$15,2,FALSE)</f>
        <v/>
      </c>
      <c r="I195" s="14">
        <f>D195*H195</f>
        <v/>
      </c>
      <c r="J195" s="12">
        <f>1-(1-F195)^(Assumptions!$B$4/12)</f>
        <v/>
      </c>
      <c r="K195" s="14">
        <f>J195*I195</f>
        <v/>
      </c>
      <c r="L195" s="14">
        <f>IF(G195="Yes",(1-(1-F195*(1-Assumptions!$B$6))^(Assumptions!$B$4/12))*I195,K195)</f>
        <v/>
      </c>
    </row>
    <row r="196">
      <c r="A196" s="9" t="inlineStr">
        <is>
          <t>DF-100292</t>
        </is>
      </c>
      <c r="B196" s="9" t="inlineStr">
        <is>
          <t>Sales</t>
        </is>
      </c>
      <c r="C196" s="9" t="inlineStr">
        <is>
          <t>L1 - Junior</t>
        </is>
      </c>
      <c r="D196" s="10" t="n">
        <v>52827</v>
      </c>
      <c r="E196" s="11" t="n">
        <v>38</v>
      </c>
      <c r="F196" s="12">
        <f>E196/100</f>
        <v/>
      </c>
      <c r="G196" s="9" t="inlineStr">
        <is>
          <t>No</t>
        </is>
      </c>
      <c r="H196" s="13">
        <f>VLOOKUP(C196,Assumptions!$A$10:$B$15,2,FALSE)</f>
        <v/>
      </c>
      <c r="I196" s="14">
        <f>D196*H196</f>
        <v/>
      </c>
      <c r="J196" s="12">
        <f>1-(1-F196)^(Assumptions!$B$4/12)</f>
        <v/>
      </c>
      <c r="K196" s="14">
        <f>J196*I196</f>
        <v/>
      </c>
      <c r="L196" s="14">
        <f>IF(G196="Yes",(1-(1-F196*(1-Assumptions!$B$6))^(Assumptions!$B$4/12))*I196,K196)</f>
        <v/>
      </c>
    </row>
    <row r="197">
      <c r="A197" s="9" t="inlineStr">
        <is>
          <t>DF-100390</t>
        </is>
      </c>
      <c r="B197" s="9" t="inlineStr">
        <is>
          <t>Engineering</t>
        </is>
      </c>
      <c r="C197" s="9" t="inlineStr">
        <is>
          <t>L2 - Mid</t>
        </is>
      </c>
      <c r="D197" s="10" t="n">
        <v>88120</v>
      </c>
      <c r="E197" s="11" t="n">
        <v>37.5</v>
      </c>
      <c r="F197" s="12">
        <f>E197/100</f>
        <v/>
      </c>
      <c r="G197" s="9" t="inlineStr">
        <is>
          <t>No</t>
        </is>
      </c>
      <c r="H197" s="13">
        <f>VLOOKUP(C197,Assumptions!$A$10:$B$15,2,FALSE)</f>
        <v/>
      </c>
      <c r="I197" s="14">
        <f>D197*H197</f>
        <v/>
      </c>
      <c r="J197" s="12">
        <f>1-(1-F197)^(Assumptions!$B$4/12)</f>
        <v/>
      </c>
      <c r="K197" s="14">
        <f>J197*I197</f>
        <v/>
      </c>
      <c r="L197" s="14">
        <f>IF(G197="Yes",(1-(1-F197*(1-Assumptions!$B$6))^(Assumptions!$B$4/12))*I197,K197)</f>
        <v/>
      </c>
    </row>
    <row r="198">
      <c r="A198" s="9" t="inlineStr">
        <is>
          <t>DF-100019</t>
        </is>
      </c>
      <c r="B198" s="9" t="inlineStr">
        <is>
          <t>Data &amp; Analytics</t>
        </is>
      </c>
      <c r="C198" s="9" t="inlineStr">
        <is>
          <t>L4 - Lead</t>
        </is>
      </c>
      <c r="D198" s="10" t="n">
        <v>123889</v>
      </c>
      <c r="E198" s="11" t="n">
        <v>37.5</v>
      </c>
      <c r="F198" s="12">
        <f>E198/100</f>
        <v/>
      </c>
      <c r="G198" s="9" t="inlineStr">
        <is>
          <t>No</t>
        </is>
      </c>
      <c r="H198" s="13">
        <f>VLOOKUP(C198,Assumptions!$A$10:$B$15,2,FALSE)</f>
        <v/>
      </c>
      <c r="I198" s="14">
        <f>D198*H198</f>
        <v/>
      </c>
      <c r="J198" s="12">
        <f>1-(1-F198)^(Assumptions!$B$4/12)</f>
        <v/>
      </c>
      <c r="K198" s="14">
        <f>J198*I198</f>
        <v/>
      </c>
      <c r="L198" s="14">
        <f>IF(G198="Yes",(1-(1-F198*(1-Assumptions!$B$6))^(Assumptions!$B$4/12))*I198,K198)</f>
        <v/>
      </c>
    </row>
    <row r="199">
      <c r="A199" s="9" t="inlineStr">
        <is>
          <t>DF-100026</t>
        </is>
      </c>
      <c r="B199" s="9" t="inlineStr">
        <is>
          <t>People/HR</t>
        </is>
      </c>
      <c r="C199" s="9" t="inlineStr">
        <is>
          <t>L6 - Director</t>
        </is>
      </c>
      <c r="D199" s="10" t="n">
        <v>176419</v>
      </c>
      <c r="E199" s="11" t="n">
        <v>37.5</v>
      </c>
      <c r="F199" s="12">
        <f>E199/100</f>
        <v/>
      </c>
      <c r="G199" s="9" t="inlineStr">
        <is>
          <t>No</t>
        </is>
      </c>
      <c r="H199" s="13">
        <f>VLOOKUP(C199,Assumptions!$A$10:$B$15,2,FALSE)</f>
        <v/>
      </c>
      <c r="I199" s="14">
        <f>D199*H199</f>
        <v/>
      </c>
      <c r="J199" s="12">
        <f>1-(1-F199)^(Assumptions!$B$4/12)</f>
        <v/>
      </c>
      <c r="K199" s="14">
        <f>J199*I199</f>
        <v/>
      </c>
      <c r="L199" s="14">
        <f>IF(G199="Yes",(1-(1-F199*(1-Assumptions!$B$6))^(Assumptions!$B$4/12))*I199,K199)</f>
        <v/>
      </c>
    </row>
    <row r="200">
      <c r="A200" s="9" t="inlineStr">
        <is>
          <t>DF-100264</t>
        </is>
      </c>
      <c r="B200" s="9" t="inlineStr">
        <is>
          <t>Data &amp; Analytics</t>
        </is>
      </c>
      <c r="C200" s="9" t="inlineStr">
        <is>
          <t>L2 - Mid</t>
        </is>
      </c>
      <c r="D200" s="10" t="n">
        <v>77561</v>
      </c>
      <c r="E200" s="11" t="n">
        <v>37.3</v>
      </c>
      <c r="F200" s="12">
        <f>E200/100</f>
        <v/>
      </c>
      <c r="G200" s="9" t="inlineStr">
        <is>
          <t>No</t>
        </is>
      </c>
      <c r="H200" s="13">
        <f>VLOOKUP(C200,Assumptions!$A$10:$B$15,2,FALSE)</f>
        <v/>
      </c>
      <c r="I200" s="14">
        <f>D200*H200</f>
        <v/>
      </c>
      <c r="J200" s="12">
        <f>1-(1-F200)^(Assumptions!$B$4/12)</f>
        <v/>
      </c>
      <c r="K200" s="14">
        <f>J200*I200</f>
        <v/>
      </c>
      <c r="L200" s="14">
        <f>IF(G200="Yes",(1-(1-F200*(1-Assumptions!$B$6))^(Assumptions!$B$4/12))*I200,K200)</f>
        <v/>
      </c>
    </row>
    <row r="201">
      <c r="A201" s="9" t="inlineStr">
        <is>
          <t>DF-100352</t>
        </is>
      </c>
      <c r="B201" s="9" t="inlineStr">
        <is>
          <t>Product</t>
        </is>
      </c>
      <c r="C201" s="9" t="inlineStr">
        <is>
          <t>L4 - Lead</t>
        </is>
      </c>
      <c r="D201" s="10" t="n">
        <v>138020</v>
      </c>
      <c r="E201" s="11" t="n">
        <v>36.3</v>
      </c>
      <c r="F201" s="12">
        <f>E201/100</f>
        <v/>
      </c>
      <c r="G201" s="9" t="inlineStr">
        <is>
          <t>No</t>
        </is>
      </c>
      <c r="H201" s="13">
        <f>VLOOKUP(C201,Assumptions!$A$10:$B$15,2,FALSE)</f>
        <v/>
      </c>
      <c r="I201" s="14">
        <f>D201*H201</f>
        <v/>
      </c>
      <c r="J201" s="12">
        <f>1-(1-F201)^(Assumptions!$B$4/12)</f>
        <v/>
      </c>
      <c r="K201" s="14">
        <f>J201*I201</f>
        <v/>
      </c>
      <c r="L201" s="14">
        <f>IF(G201="Yes",(1-(1-F201*(1-Assumptions!$B$6))^(Assumptions!$B$4/12))*I201,K201)</f>
        <v/>
      </c>
    </row>
    <row r="202">
      <c r="A202" s="9" t="inlineStr">
        <is>
          <t>DF-100546</t>
        </is>
      </c>
      <c r="B202" s="9" t="inlineStr">
        <is>
          <t>Data &amp; Analytics</t>
        </is>
      </c>
      <c r="C202" s="9" t="inlineStr">
        <is>
          <t>L5 - Manager</t>
        </is>
      </c>
      <c r="D202" s="10" t="n">
        <v>147823</v>
      </c>
      <c r="E202" s="11" t="n">
        <v>36.2</v>
      </c>
      <c r="F202" s="12">
        <f>E202/100</f>
        <v/>
      </c>
      <c r="G202" s="9" t="inlineStr">
        <is>
          <t>No</t>
        </is>
      </c>
      <c r="H202" s="13">
        <f>VLOOKUP(C202,Assumptions!$A$10:$B$15,2,FALSE)</f>
        <v/>
      </c>
      <c r="I202" s="14">
        <f>D202*H202</f>
        <v/>
      </c>
      <c r="J202" s="12">
        <f>1-(1-F202)^(Assumptions!$B$4/12)</f>
        <v/>
      </c>
      <c r="K202" s="14">
        <f>J202*I202</f>
        <v/>
      </c>
      <c r="L202" s="14">
        <f>IF(G202="Yes",(1-(1-F202*(1-Assumptions!$B$6))^(Assumptions!$B$4/12))*I202,K202)</f>
        <v/>
      </c>
    </row>
    <row r="203">
      <c r="A203" s="9" t="inlineStr">
        <is>
          <t>DF-100210</t>
        </is>
      </c>
      <c r="B203" s="9" t="inlineStr">
        <is>
          <t>Finance</t>
        </is>
      </c>
      <c r="C203" s="9" t="inlineStr">
        <is>
          <t>L1 - Junior</t>
        </is>
      </c>
      <c r="D203" s="10" t="n">
        <v>49448</v>
      </c>
      <c r="E203" s="11" t="n">
        <v>36.1</v>
      </c>
      <c r="F203" s="12">
        <f>E203/100</f>
        <v/>
      </c>
      <c r="G203" s="9" t="inlineStr">
        <is>
          <t>No</t>
        </is>
      </c>
      <c r="H203" s="13">
        <f>VLOOKUP(C203,Assumptions!$A$10:$B$15,2,FALSE)</f>
        <v/>
      </c>
      <c r="I203" s="14">
        <f>D203*H203</f>
        <v/>
      </c>
      <c r="J203" s="12">
        <f>1-(1-F203)^(Assumptions!$B$4/12)</f>
        <v/>
      </c>
      <c r="K203" s="14">
        <f>J203*I203</f>
        <v/>
      </c>
      <c r="L203" s="14">
        <f>IF(G203="Yes",(1-(1-F203*(1-Assumptions!$B$6))^(Assumptions!$B$4/12))*I203,K203)</f>
        <v/>
      </c>
    </row>
    <row r="204">
      <c r="A204" s="9" t="inlineStr">
        <is>
          <t>DF-100382</t>
        </is>
      </c>
      <c r="B204" s="9" t="inlineStr">
        <is>
          <t>Engineering</t>
        </is>
      </c>
      <c r="C204" s="9" t="inlineStr">
        <is>
          <t>L2 - Mid</t>
        </is>
      </c>
      <c r="D204" s="10" t="n">
        <v>82221</v>
      </c>
      <c r="E204" s="11" t="n">
        <v>36.1</v>
      </c>
      <c r="F204" s="12">
        <f>E204/100</f>
        <v/>
      </c>
      <c r="G204" s="9" t="inlineStr">
        <is>
          <t>No</t>
        </is>
      </c>
      <c r="H204" s="13">
        <f>VLOOKUP(C204,Assumptions!$A$10:$B$15,2,FALSE)</f>
        <v/>
      </c>
      <c r="I204" s="14">
        <f>D204*H204</f>
        <v/>
      </c>
      <c r="J204" s="12">
        <f>1-(1-F204)^(Assumptions!$B$4/12)</f>
        <v/>
      </c>
      <c r="K204" s="14">
        <f>J204*I204</f>
        <v/>
      </c>
      <c r="L204" s="14">
        <f>IF(G204="Yes",(1-(1-F204*(1-Assumptions!$B$6))^(Assumptions!$B$4/12))*I204,K204)</f>
        <v/>
      </c>
    </row>
    <row r="205">
      <c r="A205" s="9" t="inlineStr">
        <is>
          <t>DF-100071</t>
        </is>
      </c>
      <c r="B205" s="9" t="inlineStr">
        <is>
          <t>Product</t>
        </is>
      </c>
      <c r="C205" s="9" t="inlineStr">
        <is>
          <t>L1 - Junior</t>
        </is>
      </c>
      <c r="D205" s="10" t="n">
        <v>56074</v>
      </c>
      <c r="E205" s="11" t="n">
        <v>36</v>
      </c>
      <c r="F205" s="12">
        <f>E205/100</f>
        <v/>
      </c>
      <c r="G205" s="9" t="inlineStr">
        <is>
          <t>No</t>
        </is>
      </c>
      <c r="H205" s="13">
        <f>VLOOKUP(C205,Assumptions!$A$10:$B$15,2,FALSE)</f>
        <v/>
      </c>
      <c r="I205" s="14">
        <f>D205*H205</f>
        <v/>
      </c>
      <c r="J205" s="12">
        <f>1-(1-F205)^(Assumptions!$B$4/12)</f>
        <v/>
      </c>
      <c r="K205" s="14">
        <f>J205*I205</f>
        <v/>
      </c>
      <c r="L205" s="14">
        <f>IF(G205="Yes",(1-(1-F205*(1-Assumptions!$B$6))^(Assumptions!$B$4/12))*I205,K205)</f>
        <v/>
      </c>
    </row>
    <row r="206">
      <c r="A206" s="9" t="inlineStr">
        <is>
          <t>DF-100224</t>
        </is>
      </c>
      <c r="B206" s="9" t="inlineStr">
        <is>
          <t>Product</t>
        </is>
      </c>
      <c r="C206" s="9" t="inlineStr">
        <is>
          <t>L2 - Mid</t>
        </is>
      </c>
      <c r="D206" s="10" t="n">
        <v>75544</v>
      </c>
      <c r="E206" s="11" t="n">
        <v>35.6</v>
      </c>
      <c r="F206" s="12">
        <f>E206/100</f>
        <v/>
      </c>
      <c r="G206" s="9" t="inlineStr">
        <is>
          <t>No</t>
        </is>
      </c>
      <c r="H206" s="13">
        <f>VLOOKUP(C206,Assumptions!$A$10:$B$15,2,FALSE)</f>
        <v/>
      </c>
      <c r="I206" s="14">
        <f>D206*H206</f>
        <v/>
      </c>
      <c r="J206" s="12">
        <f>1-(1-F206)^(Assumptions!$B$4/12)</f>
        <v/>
      </c>
      <c r="K206" s="14">
        <f>J206*I206</f>
        <v/>
      </c>
      <c r="L206" s="14">
        <f>IF(G206="Yes",(1-(1-F206*(1-Assumptions!$B$6))^(Assumptions!$B$4/12))*I206,K206)</f>
        <v/>
      </c>
    </row>
    <row r="207">
      <c r="A207" s="9" t="inlineStr">
        <is>
          <t>DF-100056</t>
        </is>
      </c>
      <c r="B207" s="9" t="inlineStr">
        <is>
          <t>Engineering</t>
        </is>
      </c>
      <c r="C207" s="9" t="inlineStr">
        <is>
          <t>L3 - Senior</t>
        </is>
      </c>
      <c r="D207" s="10" t="n">
        <v>97880</v>
      </c>
      <c r="E207" s="11" t="n">
        <v>35.5</v>
      </c>
      <c r="F207" s="12">
        <f>E207/100</f>
        <v/>
      </c>
      <c r="G207" s="9" t="inlineStr">
        <is>
          <t>No</t>
        </is>
      </c>
      <c r="H207" s="13">
        <f>VLOOKUP(C207,Assumptions!$A$10:$B$15,2,FALSE)</f>
        <v/>
      </c>
      <c r="I207" s="14">
        <f>D207*H207</f>
        <v/>
      </c>
      <c r="J207" s="12">
        <f>1-(1-F207)^(Assumptions!$B$4/12)</f>
        <v/>
      </c>
      <c r="K207" s="14">
        <f>J207*I207</f>
        <v/>
      </c>
      <c r="L207" s="14">
        <f>IF(G207="Yes",(1-(1-F207*(1-Assumptions!$B$6))^(Assumptions!$B$4/12))*I207,K207)</f>
        <v/>
      </c>
    </row>
    <row r="208">
      <c r="A208" s="9" t="inlineStr">
        <is>
          <t>DF-100489</t>
        </is>
      </c>
      <c r="B208" s="9" t="inlineStr">
        <is>
          <t>Data &amp; Analytics</t>
        </is>
      </c>
      <c r="C208" s="9" t="inlineStr">
        <is>
          <t>L3 - Senior</t>
        </is>
      </c>
      <c r="D208" s="10" t="n">
        <v>111019</v>
      </c>
      <c r="E208" s="11" t="n">
        <v>35.4</v>
      </c>
      <c r="F208" s="12">
        <f>E208/100</f>
        <v/>
      </c>
      <c r="G208" s="9" t="inlineStr">
        <is>
          <t>No</t>
        </is>
      </c>
      <c r="H208" s="13">
        <f>VLOOKUP(C208,Assumptions!$A$10:$B$15,2,FALSE)</f>
        <v/>
      </c>
      <c r="I208" s="14">
        <f>D208*H208</f>
        <v/>
      </c>
      <c r="J208" s="12">
        <f>1-(1-F208)^(Assumptions!$B$4/12)</f>
        <v/>
      </c>
      <c r="K208" s="14">
        <f>J208*I208</f>
        <v/>
      </c>
      <c r="L208" s="14">
        <f>IF(G208="Yes",(1-(1-F208*(1-Assumptions!$B$6))^(Assumptions!$B$4/12))*I208,K208)</f>
        <v/>
      </c>
    </row>
    <row r="209">
      <c r="A209" s="9" t="inlineStr">
        <is>
          <t>DF-100624</t>
        </is>
      </c>
      <c r="B209" s="9" t="inlineStr">
        <is>
          <t>Operations</t>
        </is>
      </c>
      <c r="C209" s="9" t="inlineStr">
        <is>
          <t>L1 - Junior</t>
        </is>
      </c>
      <c r="D209" s="10" t="n">
        <v>49469</v>
      </c>
      <c r="E209" s="11" t="n">
        <v>35.3</v>
      </c>
      <c r="F209" s="12">
        <f>E209/100</f>
        <v/>
      </c>
      <c r="G209" s="9" t="inlineStr">
        <is>
          <t>No</t>
        </is>
      </c>
      <c r="H209" s="13">
        <f>VLOOKUP(C209,Assumptions!$A$10:$B$15,2,FALSE)</f>
        <v/>
      </c>
      <c r="I209" s="14">
        <f>D209*H209</f>
        <v/>
      </c>
      <c r="J209" s="12">
        <f>1-(1-F209)^(Assumptions!$B$4/12)</f>
        <v/>
      </c>
      <c r="K209" s="14">
        <f>J209*I209</f>
        <v/>
      </c>
      <c r="L209" s="14">
        <f>IF(G209="Yes",(1-(1-F209*(1-Assumptions!$B$6))^(Assumptions!$B$4/12))*I209,K209)</f>
        <v/>
      </c>
    </row>
    <row r="210">
      <c r="A210" s="9" t="inlineStr">
        <is>
          <t>DF-100442</t>
        </is>
      </c>
      <c r="B210" s="9" t="inlineStr">
        <is>
          <t>Data &amp; Analytics</t>
        </is>
      </c>
      <c r="C210" s="9" t="inlineStr">
        <is>
          <t>L6 - Director</t>
        </is>
      </c>
      <c r="D210" s="10" t="n">
        <v>174470</v>
      </c>
      <c r="E210" s="11" t="n">
        <v>34.5</v>
      </c>
      <c r="F210" s="12">
        <f>E210/100</f>
        <v/>
      </c>
      <c r="G210" s="9" t="inlineStr">
        <is>
          <t>No</t>
        </is>
      </c>
      <c r="H210" s="13">
        <f>VLOOKUP(C210,Assumptions!$A$10:$B$15,2,FALSE)</f>
        <v/>
      </c>
      <c r="I210" s="14">
        <f>D210*H210</f>
        <v/>
      </c>
      <c r="J210" s="12">
        <f>1-(1-F210)^(Assumptions!$B$4/12)</f>
        <v/>
      </c>
      <c r="K210" s="14">
        <f>J210*I210</f>
        <v/>
      </c>
      <c r="L210" s="14">
        <f>IF(G210="Yes",(1-(1-F210*(1-Assumptions!$B$6))^(Assumptions!$B$4/12))*I210,K210)</f>
        <v/>
      </c>
    </row>
    <row r="211">
      <c r="A211" s="9" t="inlineStr">
        <is>
          <t>DF-100407</t>
        </is>
      </c>
      <c r="B211" s="9" t="inlineStr">
        <is>
          <t>Engineering</t>
        </is>
      </c>
      <c r="C211" s="9" t="inlineStr">
        <is>
          <t>L3 - Senior</t>
        </is>
      </c>
      <c r="D211" s="10" t="n">
        <v>86674</v>
      </c>
      <c r="E211" s="11" t="n">
        <v>34.4</v>
      </c>
      <c r="F211" s="12">
        <f>E211/100</f>
        <v/>
      </c>
      <c r="G211" s="9" t="inlineStr">
        <is>
          <t>No</t>
        </is>
      </c>
      <c r="H211" s="13">
        <f>VLOOKUP(C211,Assumptions!$A$10:$B$15,2,FALSE)</f>
        <v/>
      </c>
      <c r="I211" s="14">
        <f>D211*H211</f>
        <v/>
      </c>
      <c r="J211" s="12">
        <f>1-(1-F211)^(Assumptions!$B$4/12)</f>
        <v/>
      </c>
      <c r="K211" s="14">
        <f>J211*I211</f>
        <v/>
      </c>
      <c r="L211" s="14">
        <f>IF(G211="Yes",(1-(1-F211*(1-Assumptions!$B$6))^(Assumptions!$B$4/12))*I211,K211)</f>
        <v/>
      </c>
    </row>
    <row r="212">
      <c r="A212" s="9" t="inlineStr">
        <is>
          <t>DF-100453</t>
        </is>
      </c>
      <c r="B212" s="9" t="inlineStr">
        <is>
          <t>Customer Success</t>
        </is>
      </c>
      <c r="C212" s="9" t="inlineStr">
        <is>
          <t>L6 - Director</t>
        </is>
      </c>
      <c r="D212" s="10" t="n">
        <v>164541</v>
      </c>
      <c r="E212" s="11" t="n">
        <v>34.1</v>
      </c>
      <c r="F212" s="12">
        <f>E212/100</f>
        <v/>
      </c>
      <c r="G212" s="9" t="inlineStr">
        <is>
          <t>No</t>
        </is>
      </c>
      <c r="H212" s="13">
        <f>VLOOKUP(C212,Assumptions!$A$10:$B$15,2,FALSE)</f>
        <v/>
      </c>
      <c r="I212" s="14">
        <f>D212*H212</f>
        <v/>
      </c>
      <c r="J212" s="12">
        <f>1-(1-F212)^(Assumptions!$B$4/12)</f>
        <v/>
      </c>
      <c r="K212" s="14">
        <f>J212*I212</f>
        <v/>
      </c>
      <c r="L212" s="14">
        <f>IF(G212="Yes",(1-(1-F212*(1-Assumptions!$B$6))^(Assumptions!$B$4/12))*I212,K212)</f>
        <v/>
      </c>
    </row>
    <row r="213">
      <c r="A213" s="9" t="inlineStr">
        <is>
          <t>DF-100220</t>
        </is>
      </c>
      <c r="B213" s="9" t="inlineStr">
        <is>
          <t>Marketing</t>
        </is>
      </c>
      <c r="C213" s="9" t="inlineStr">
        <is>
          <t>L2 - Mid</t>
        </is>
      </c>
      <c r="D213" s="10" t="n">
        <v>62786</v>
      </c>
      <c r="E213" s="11" t="n">
        <v>34.1</v>
      </c>
      <c r="F213" s="12">
        <f>E213/100</f>
        <v/>
      </c>
      <c r="G213" s="9" t="inlineStr">
        <is>
          <t>No</t>
        </is>
      </c>
      <c r="H213" s="13">
        <f>VLOOKUP(C213,Assumptions!$A$10:$B$15,2,FALSE)</f>
        <v/>
      </c>
      <c r="I213" s="14">
        <f>D213*H213</f>
        <v/>
      </c>
      <c r="J213" s="12">
        <f>1-(1-F213)^(Assumptions!$B$4/12)</f>
        <v/>
      </c>
      <c r="K213" s="14">
        <f>J213*I213</f>
        <v/>
      </c>
      <c r="L213" s="14">
        <f>IF(G213="Yes",(1-(1-F213*(1-Assumptions!$B$6))^(Assumptions!$B$4/12))*I213,K213)</f>
        <v/>
      </c>
    </row>
    <row r="214">
      <c r="A214" s="9" t="inlineStr">
        <is>
          <t>DF-100626</t>
        </is>
      </c>
      <c r="B214" s="9" t="inlineStr">
        <is>
          <t>Customer Success</t>
        </is>
      </c>
      <c r="C214" s="9" t="inlineStr">
        <is>
          <t>L4 - Lead</t>
        </is>
      </c>
      <c r="D214" s="10" t="n">
        <v>106003</v>
      </c>
      <c r="E214" s="11" t="n">
        <v>34.1</v>
      </c>
      <c r="F214" s="12">
        <f>E214/100</f>
        <v/>
      </c>
      <c r="G214" s="9" t="inlineStr">
        <is>
          <t>No</t>
        </is>
      </c>
      <c r="H214" s="13">
        <f>VLOOKUP(C214,Assumptions!$A$10:$B$15,2,FALSE)</f>
        <v/>
      </c>
      <c r="I214" s="14">
        <f>D214*H214</f>
        <v/>
      </c>
      <c r="J214" s="12">
        <f>1-(1-F214)^(Assumptions!$B$4/12)</f>
        <v/>
      </c>
      <c r="K214" s="14">
        <f>J214*I214</f>
        <v/>
      </c>
      <c r="L214" s="14">
        <f>IF(G214="Yes",(1-(1-F214*(1-Assumptions!$B$6))^(Assumptions!$B$4/12))*I214,K214)</f>
        <v/>
      </c>
    </row>
    <row r="215">
      <c r="A215" s="9" t="inlineStr">
        <is>
          <t>DF-100377</t>
        </is>
      </c>
      <c r="B215" s="9" t="inlineStr">
        <is>
          <t>Product</t>
        </is>
      </c>
      <c r="C215" s="9" t="inlineStr">
        <is>
          <t>L1 - Junior</t>
        </is>
      </c>
      <c r="D215" s="10" t="n">
        <v>56015</v>
      </c>
      <c r="E215" s="11" t="n">
        <v>33.8</v>
      </c>
      <c r="F215" s="12">
        <f>E215/100</f>
        <v/>
      </c>
      <c r="G215" s="9" t="inlineStr">
        <is>
          <t>No</t>
        </is>
      </c>
      <c r="H215" s="13">
        <f>VLOOKUP(C215,Assumptions!$A$10:$B$15,2,FALSE)</f>
        <v/>
      </c>
      <c r="I215" s="14">
        <f>D215*H215</f>
        <v/>
      </c>
      <c r="J215" s="12">
        <f>1-(1-F215)^(Assumptions!$B$4/12)</f>
        <v/>
      </c>
      <c r="K215" s="14">
        <f>J215*I215</f>
        <v/>
      </c>
      <c r="L215" s="14">
        <f>IF(G215="Yes",(1-(1-F215*(1-Assumptions!$B$6))^(Assumptions!$B$4/12))*I215,K215)</f>
        <v/>
      </c>
    </row>
    <row r="216">
      <c r="A216" s="9" t="inlineStr">
        <is>
          <t>DF-100647</t>
        </is>
      </c>
      <c r="B216" s="9" t="inlineStr">
        <is>
          <t>People/HR</t>
        </is>
      </c>
      <c r="C216" s="9" t="inlineStr">
        <is>
          <t>L2 - Mid</t>
        </is>
      </c>
      <c r="D216" s="10" t="n">
        <v>65407</v>
      </c>
      <c r="E216" s="11" t="n">
        <v>33.5</v>
      </c>
      <c r="F216" s="12">
        <f>E216/100</f>
        <v/>
      </c>
      <c r="G216" s="9" t="inlineStr">
        <is>
          <t>No</t>
        </is>
      </c>
      <c r="H216" s="13">
        <f>VLOOKUP(C216,Assumptions!$A$10:$B$15,2,FALSE)</f>
        <v/>
      </c>
      <c r="I216" s="14">
        <f>D216*H216</f>
        <v/>
      </c>
      <c r="J216" s="12">
        <f>1-(1-F216)^(Assumptions!$B$4/12)</f>
        <v/>
      </c>
      <c r="K216" s="14">
        <f>J216*I216</f>
        <v/>
      </c>
      <c r="L216" s="14">
        <f>IF(G216="Yes",(1-(1-F216*(1-Assumptions!$B$6))^(Assumptions!$B$4/12))*I216,K216)</f>
        <v/>
      </c>
    </row>
    <row r="217">
      <c r="A217" s="9" t="inlineStr">
        <is>
          <t>DF-100338</t>
        </is>
      </c>
      <c r="B217" s="9" t="inlineStr">
        <is>
          <t>Sales</t>
        </is>
      </c>
      <c r="C217" s="9" t="inlineStr">
        <is>
          <t>L3 - Senior</t>
        </is>
      </c>
      <c r="D217" s="10" t="n">
        <v>95523</v>
      </c>
      <c r="E217" s="11" t="n">
        <v>33.2</v>
      </c>
      <c r="F217" s="12">
        <f>E217/100</f>
        <v/>
      </c>
      <c r="G217" s="9" t="inlineStr">
        <is>
          <t>No</t>
        </is>
      </c>
      <c r="H217" s="13">
        <f>VLOOKUP(C217,Assumptions!$A$10:$B$15,2,FALSE)</f>
        <v/>
      </c>
      <c r="I217" s="14">
        <f>D217*H217</f>
        <v/>
      </c>
      <c r="J217" s="12">
        <f>1-(1-F217)^(Assumptions!$B$4/12)</f>
        <v/>
      </c>
      <c r="K217" s="14">
        <f>J217*I217</f>
        <v/>
      </c>
      <c r="L217" s="14">
        <f>IF(G217="Yes",(1-(1-F217*(1-Assumptions!$B$6))^(Assumptions!$B$4/12))*I217,K217)</f>
        <v/>
      </c>
    </row>
    <row r="218">
      <c r="A218" s="9" t="inlineStr">
        <is>
          <t>DF-100002</t>
        </is>
      </c>
      <c r="B218" s="9" t="inlineStr">
        <is>
          <t>Operations</t>
        </is>
      </c>
      <c r="C218" s="9" t="inlineStr">
        <is>
          <t>L4 - Lead</t>
        </is>
      </c>
      <c r="D218" s="10" t="n">
        <v>121280</v>
      </c>
      <c r="E218" s="11" t="n">
        <v>33.2</v>
      </c>
      <c r="F218" s="12">
        <f>E218/100</f>
        <v/>
      </c>
      <c r="G218" s="9" t="inlineStr">
        <is>
          <t>No</t>
        </is>
      </c>
      <c r="H218" s="13">
        <f>VLOOKUP(C218,Assumptions!$A$10:$B$15,2,FALSE)</f>
        <v/>
      </c>
      <c r="I218" s="14">
        <f>D218*H218</f>
        <v/>
      </c>
      <c r="J218" s="12">
        <f>1-(1-F218)^(Assumptions!$B$4/12)</f>
        <v/>
      </c>
      <c r="K218" s="14">
        <f>J218*I218</f>
        <v/>
      </c>
      <c r="L218" s="14">
        <f>IF(G218="Yes",(1-(1-F218*(1-Assumptions!$B$6))^(Assumptions!$B$4/12))*I218,K218)</f>
        <v/>
      </c>
    </row>
    <row r="219">
      <c r="A219" s="9" t="inlineStr">
        <is>
          <t>DF-100679</t>
        </is>
      </c>
      <c r="B219" s="9" t="inlineStr">
        <is>
          <t>Operations</t>
        </is>
      </c>
      <c r="C219" s="9" t="inlineStr">
        <is>
          <t>L6 - Director</t>
        </is>
      </c>
      <c r="D219" s="10" t="n">
        <v>139094</v>
      </c>
      <c r="E219" s="11" t="n">
        <v>33.1</v>
      </c>
      <c r="F219" s="12">
        <f>E219/100</f>
        <v/>
      </c>
      <c r="G219" s="9" t="inlineStr">
        <is>
          <t>No</t>
        </is>
      </c>
      <c r="H219" s="13">
        <f>VLOOKUP(C219,Assumptions!$A$10:$B$15,2,FALSE)</f>
        <v/>
      </c>
      <c r="I219" s="14">
        <f>D219*H219</f>
        <v/>
      </c>
      <c r="J219" s="12">
        <f>1-(1-F219)^(Assumptions!$B$4/12)</f>
        <v/>
      </c>
      <c r="K219" s="14">
        <f>J219*I219</f>
        <v/>
      </c>
      <c r="L219" s="14">
        <f>IF(G219="Yes",(1-(1-F219*(1-Assumptions!$B$6))^(Assumptions!$B$4/12))*I219,K219)</f>
        <v/>
      </c>
    </row>
    <row r="220">
      <c r="A220" s="9" t="inlineStr">
        <is>
          <t>DF-100214</t>
        </is>
      </c>
      <c r="B220" s="9" t="inlineStr">
        <is>
          <t>Finance</t>
        </is>
      </c>
      <c r="C220" s="9" t="inlineStr">
        <is>
          <t>L1 - Junior</t>
        </is>
      </c>
      <c r="D220" s="10" t="n">
        <v>49457</v>
      </c>
      <c r="E220" s="11" t="n">
        <v>33.1</v>
      </c>
      <c r="F220" s="12">
        <f>E220/100</f>
        <v/>
      </c>
      <c r="G220" s="9" t="inlineStr">
        <is>
          <t>No</t>
        </is>
      </c>
      <c r="H220" s="13">
        <f>VLOOKUP(C220,Assumptions!$A$10:$B$15,2,FALSE)</f>
        <v/>
      </c>
      <c r="I220" s="14">
        <f>D220*H220</f>
        <v/>
      </c>
      <c r="J220" s="12">
        <f>1-(1-F220)^(Assumptions!$B$4/12)</f>
        <v/>
      </c>
      <c r="K220" s="14">
        <f>J220*I220</f>
        <v/>
      </c>
      <c r="L220" s="14">
        <f>IF(G220="Yes",(1-(1-F220*(1-Assumptions!$B$6))^(Assumptions!$B$4/12))*I220,K220)</f>
        <v/>
      </c>
    </row>
    <row r="221">
      <c r="A221" s="9" t="inlineStr">
        <is>
          <t>DF-100544</t>
        </is>
      </c>
      <c r="B221" s="9" t="inlineStr">
        <is>
          <t>Data &amp; Analytics</t>
        </is>
      </c>
      <c r="C221" s="9" t="inlineStr">
        <is>
          <t>L2 - Mid</t>
        </is>
      </c>
      <c r="D221" s="10" t="n">
        <v>81200</v>
      </c>
      <c r="E221" s="11" t="n">
        <v>33</v>
      </c>
      <c r="F221" s="12">
        <f>E221/100</f>
        <v/>
      </c>
      <c r="G221" s="9" t="inlineStr">
        <is>
          <t>No</t>
        </is>
      </c>
      <c r="H221" s="13">
        <f>VLOOKUP(C221,Assumptions!$A$10:$B$15,2,FALSE)</f>
        <v/>
      </c>
      <c r="I221" s="14">
        <f>D221*H221</f>
        <v/>
      </c>
      <c r="J221" s="12">
        <f>1-(1-F221)^(Assumptions!$B$4/12)</f>
        <v/>
      </c>
      <c r="K221" s="14">
        <f>J221*I221</f>
        <v/>
      </c>
      <c r="L221" s="14">
        <f>IF(G221="Yes",(1-(1-F221*(1-Assumptions!$B$6))^(Assumptions!$B$4/12))*I221,K221)</f>
        <v/>
      </c>
    </row>
    <row r="222">
      <c r="A222" s="9" t="inlineStr">
        <is>
          <t>DF-100259</t>
        </is>
      </c>
      <c r="B222" s="9" t="inlineStr">
        <is>
          <t>Customer Success</t>
        </is>
      </c>
      <c r="C222" s="9" t="inlineStr">
        <is>
          <t>L3 - Senior</t>
        </is>
      </c>
      <c r="D222" s="10" t="n">
        <v>93454</v>
      </c>
      <c r="E222" s="11" t="n">
        <v>32.9</v>
      </c>
      <c r="F222" s="12">
        <f>E222/100</f>
        <v/>
      </c>
      <c r="G222" s="9" t="inlineStr">
        <is>
          <t>No</t>
        </is>
      </c>
      <c r="H222" s="13">
        <f>VLOOKUP(C222,Assumptions!$A$10:$B$15,2,FALSE)</f>
        <v/>
      </c>
      <c r="I222" s="14">
        <f>D222*H222</f>
        <v/>
      </c>
      <c r="J222" s="12">
        <f>1-(1-F222)^(Assumptions!$B$4/12)</f>
        <v/>
      </c>
      <c r="K222" s="14">
        <f>J222*I222</f>
        <v/>
      </c>
      <c r="L222" s="14">
        <f>IF(G222="Yes",(1-(1-F222*(1-Assumptions!$B$6))^(Assumptions!$B$4/12))*I222,K222)</f>
        <v/>
      </c>
    </row>
    <row r="223">
      <c r="A223" s="9" t="inlineStr">
        <is>
          <t>DF-100355</t>
        </is>
      </c>
      <c r="B223" s="9" t="inlineStr">
        <is>
          <t>Product</t>
        </is>
      </c>
      <c r="C223" s="9" t="inlineStr">
        <is>
          <t>L2 - Mid</t>
        </is>
      </c>
      <c r="D223" s="10" t="n">
        <v>70100</v>
      </c>
      <c r="E223" s="11" t="n">
        <v>32.7</v>
      </c>
      <c r="F223" s="12">
        <f>E223/100</f>
        <v/>
      </c>
      <c r="G223" s="9" t="inlineStr">
        <is>
          <t>No</t>
        </is>
      </c>
      <c r="H223" s="13">
        <f>VLOOKUP(C223,Assumptions!$A$10:$B$15,2,FALSE)</f>
        <v/>
      </c>
      <c r="I223" s="14">
        <f>D223*H223</f>
        <v/>
      </c>
      <c r="J223" s="12">
        <f>1-(1-F223)^(Assumptions!$B$4/12)</f>
        <v/>
      </c>
      <c r="K223" s="14">
        <f>J223*I223</f>
        <v/>
      </c>
      <c r="L223" s="14">
        <f>IF(G223="Yes",(1-(1-F223*(1-Assumptions!$B$6))^(Assumptions!$B$4/12))*I223,K223)</f>
        <v/>
      </c>
    </row>
    <row r="224">
      <c r="A224" s="9" t="inlineStr">
        <is>
          <t>DF-100639</t>
        </is>
      </c>
      <c r="B224" s="9" t="inlineStr">
        <is>
          <t>Support</t>
        </is>
      </c>
      <c r="C224" s="9" t="inlineStr">
        <is>
          <t>L3 - Senior</t>
        </is>
      </c>
      <c r="D224" s="10" t="n">
        <v>61507</v>
      </c>
      <c r="E224" s="11" t="n">
        <v>32.5</v>
      </c>
      <c r="F224" s="12">
        <f>E224/100</f>
        <v/>
      </c>
      <c r="G224" s="9" t="inlineStr">
        <is>
          <t>No</t>
        </is>
      </c>
      <c r="H224" s="13">
        <f>VLOOKUP(C224,Assumptions!$A$10:$B$15,2,FALSE)</f>
        <v/>
      </c>
      <c r="I224" s="14">
        <f>D224*H224</f>
        <v/>
      </c>
      <c r="J224" s="12">
        <f>1-(1-F224)^(Assumptions!$B$4/12)</f>
        <v/>
      </c>
      <c r="K224" s="14">
        <f>J224*I224</f>
        <v/>
      </c>
      <c r="L224" s="14">
        <f>IF(G224="Yes",(1-(1-F224*(1-Assumptions!$B$6))^(Assumptions!$B$4/12))*I224,K224)</f>
        <v/>
      </c>
    </row>
    <row r="225">
      <c r="A225" s="9" t="inlineStr">
        <is>
          <t>DF-100488</t>
        </is>
      </c>
      <c r="B225" s="9" t="inlineStr">
        <is>
          <t>Engineering</t>
        </is>
      </c>
      <c r="C225" s="9" t="inlineStr">
        <is>
          <t>L3 - Senior</t>
        </is>
      </c>
      <c r="D225" s="10" t="n">
        <v>120353</v>
      </c>
      <c r="E225" s="11" t="n">
        <v>32.5</v>
      </c>
      <c r="F225" s="12">
        <f>E225/100</f>
        <v/>
      </c>
      <c r="G225" s="9" t="inlineStr">
        <is>
          <t>No</t>
        </is>
      </c>
      <c r="H225" s="13">
        <f>VLOOKUP(C225,Assumptions!$A$10:$B$15,2,FALSE)</f>
        <v/>
      </c>
      <c r="I225" s="14">
        <f>D225*H225</f>
        <v/>
      </c>
      <c r="J225" s="12">
        <f>1-(1-F225)^(Assumptions!$B$4/12)</f>
        <v/>
      </c>
      <c r="K225" s="14">
        <f>J225*I225</f>
        <v/>
      </c>
      <c r="L225" s="14">
        <f>IF(G225="Yes",(1-(1-F225*(1-Assumptions!$B$6))^(Assumptions!$B$4/12))*I225,K225)</f>
        <v/>
      </c>
    </row>
    <row r="226">
      <c r="A226" s="9" t="inlineStr">
        <is>
          <t>DF-100287</t>
        </is>
      </c>
      <c r="B226" s="9" t="inlineStr">
        <is>
          <t>Marketing</t>
        </is>
      </c>
      <c r="C226" s="9" t="inlineStr">
        <is>
          <t>L1 - Junior</t>
        </is>
      </c>
      <c r="D226" s="10" t="n">
        <v>53659</v>
      </c>
      <c r="E226" s="11" t="n">
        <v>32.4</v>
      </c>
      <c r="F226" s="12">
        <f>E226/100</f>
        <v/>
      </c>
      <c r="G226" s="9" t="inlineStr">
        <is>
          <t>No</t>
        </is>
      </c>
      <c r="H226" s="13">
        <f>VLOOKUP(C226,Assumptions!$A$10:$B$15,2,FALSE)</f>
        <v/>
      </c>
      <c r="I226" s="14">
        <f>D226*H226</f>
        <v/>
      </c>
      <c r="J226" s="12">
        <f>1-(1-F226)^(Assumptions!$B$4/12)</f>
        <v/>
      </c>
      <c r="K226" s="14">
        <f>J226*I226</f>
        <v/>
      </c>
      <c r="L226" s="14">
        <f>IF(G226="Yes",(1-(1-F226*(1-Assumptions!$B$6))^(Assumptions!$B$4/12))*I226,K226)</f>
        <v/>
      </c>
    </row>
    <row r="227">
      <c r="A227" s="9" t="inlineStr">
        <is>
          <t>DF-100118</t>
        </is>
      </c>
      <c r="B227" s="9" t="inlineStr">
        <is>
          <t>Data &amp; Analytics</t>
        </is>
      </c>
      <c r="C227" s="9" t="inlineStr">
        <is>
          <t>L1 - Junior</t>
        </is>
      </c>
      <c r="D227" s="10" t="n">
        <v>63982</v>
      </c>
      <c r="E227" s="11" t="n">
        <v>32.4</v>
      </c>
      <c r="F227" s="12">
        <f>E227/100</f>
        <v/>
      </c>
      <c r="G227" s="9" t="inlineStr">
        <is>
          <t>No</t>
        </is>
      </c>
      <c r="H227" s="13">
        <f>VLOOKUP(C227,Assumptions!$A$10:$B$15,2,FALSE)</f>
        <v/>
      </c>
      <c r="I227" s="14">
        <f>D227*H227</f>
        <v/>
      </c>
      <c r="J227" s="12">
        <f>1-(1-F227)^(Assumptions!$B$4/12)</f>
        <v/>
      </c>
      <c r="K227" s="14">
        <f>J227*I227</f>
        <v/>
      </c>
      <c r="L227" s="14">
        <f>IF(G227="Yes",(1-(1-F227*(1-Assumptions!$B$6))^(Assumptions!$B$4/12))*I227,K227)</f>
        <v/>
      </c>
    </row>
    <row r="228">
      <c r="A228" s="9" t="inlineStr">
        <is>
          <t>DF-100172</t>
        </is>
      </c>
      <c r="B228" s="9" t="inlineStr">
        <is>
          <t>Finance</t>
        </is>
      </c>
      <c r="C228" s="9" t="inlineStr">
        <is>
          <t>L3 - Senior</t>
        </is>
      </c>
      <c r="D228" s="10" t="n">
        <v>80529</v>
      </c>
      <c r="E228" s="11" t="n">
        <v>32.2</v>
      </c>
      <c r="F228" s="12">
        <f>E228/100</f>
        <v/>
      </c>
      <c r="G228" s="9" t="inlineStr">
        <is>
          <t>No</t>
        </is>
      </c>
      <c r="H228" s="13">
        <f>VLOOKUP(C228,Assumptions!$A$10:$B$15,2,FALSE)</f>
        <v/>
      </c>
      <c r="I228" s="14">
        <f>D228*H228</f>
        <v/>
      </c>
      <c r="J228" s="12">
        <f>1-(1-F228)^(Assumptions!$B$4/12)</f>
        <v/>
      </c>
      <c r="K228" s="14">
        <f>J228*I228</f>
        <v/>
      </c>
      <c r="L228" s="14">
        <f>IF(G228="Yes",(1-(1-F228*(1-Assumptions!$B$6))^(Assumptions!$B$4/12))*I228,K228)</f>
        <v/>
      </c>
    </row>
    <row r="229">
      <c r="A229" s="9" t="inlineStr">
        <is>
          <t>DF-100093</t>
        </is>
      </c>
      <c r="B229" s="9" t="inlineStr">
        <is>
          <t>Support</t>
        </is>
      </c>
      <c r="C229" s="9" t="inlineStr">
        <is>
          <t>L1 - Junior</t>
        </is>
      </c>
      <c r="D229" s="10" t="n">
        <v>40524</v>
      </c>
      <c r="E229" s="11" t="n">
        <v>32.2</v>
      </c>
      <c r="F229" s="12">
        <f>E229/100</f>
        <v/>
      </c>
      <c r="G229" s="9" t="inlineStr">
        <is>
          <t>No</t>
        </is>
      </c>
      <c r="H229" s="13">
        <f>VLOOKUP(C229,Assumptions!$A$10:$B$15,2,FALSE)</f>
        <v/>
      </c>
      <c r="I229" s="14">
        <f>D229*H229</f>
        <v/>
      </c>
      <c r="J229" s="12">
        <f>1-(1-F229)^(Assumptions!$B$4/12)</f>
        <v/>
      </c>
      <c r="K229" s="14">
        <f>J229*I229</f>
        <v/>
      </c>
      <c r="L229" s="14">
        <f>IF(G229="Yes",(1-(1-F229*(1-Assumptions!$B$6))^(Assumptions!$B$4/12))*I229,K229)</f>
        <v/>
      </c>
    </row>
    <row r="230">
      <c r="A230" s="9" t="inlineStr">
        <is>
          <t>DF-100551</t>
        </is>
      </c>
      <c r="B230" s="9" t="inlineStr">
        <is>
          <t>Sales</t>
        </is>
      </c>
      <c r="C230" s="9" t="inlineStr">
        <is>
          <t>L3 - Senior</t>
        </is>
      </c>
      <c r="D230" s="10" t="n">
        <v>80887</v>
      </c>
      <c r="E230" s="11" t="n">
        <v>32.1</v>
      </c>
      <c r="F230" s="12">
        <f>E230/100</f>
        <v/>
      </c>
      <c r="G230" s="9" t="inlineStr">
        <is>
          <t>No</t>
        </is>
      </c>
      <c r="H230" s="13">
        <f>VLOOKUP(C230,Assumptions!$A$10:$B$15,2,FALSE)</f>
        <v/>
      </c>
      <c r="I230" s="14">
        <f>D230*H230</f>
        <v/>
      </c>
      <c r="J230" s="12">
        <f>1-(1-F230)^(Assumptions!$B$4/12)</f>
        <v/>
      </c>
      <c r="K230" s="14">
        <f>J230*I230</f>
        <v/>
      </c>
      <c r="L230" s="14">
        <f>IF(G230="Yes",(1-(1-F230*(1-Assumptions!$B$6))^(Assumptions!$B$4/12))*I230,K230)</f>
        <v/>
      </c>
    </row>
    <row r="231">
      <c r="A231" s="9" t="inlineStr">
        <is>
          <t>DF-100582</t>
        </is>
      </c>
      <c r="B231" s="9" t="inlineStr">
        <is>
          <t>Marketing</t>
        </is>
      </c>
      <c r="C231" s="9" t="inlineStr">
        <is>
          <t>L3 - Senior</t>
        </is>
      </c>
      <c r="D231" s="10" t="n">
        <v>94563</v>
      </c>
      <c r="E231" s="11" t="n">
        <v>32</v>
      </c>
      <c r="F231" s="12">
        <f>E231/100</f>
        <v/>
      </c>
      <c r="G231" s="9" t="inlineStr">
        <is>
          <t>No</t>
        </is>
      </c>
      <c r="H231" s="13">
        <f>VLOOKUP(C231,Assumptions!$A$10:$B$15,2,FALSE)</f>
        <v/>
      </c>
      <c r="I231" s="14">
        <f>D231*H231</f>
        <v/>
      </c>
      <c r="J231" s="12">
        <f>1-(1-F231)^(Assumptions!$B$4/12)</f>
        <v/>
      </c>
      <c r="K231" s="14">
        <f>J231*I231</f>
        <v/>
      </c>
      <c r="L231" s="14">
        <f>IF(G231="Yes",(1-(1-F231*(1-Assumptions!$B$6))^(Assumptions!$B$4/12))*I231,K231)</f>
        <v/>
      </c>
    </row>
    <row r="232">
      <c r="A232" s="9" t="inlineStr">
        <is>
          <t>DF-100353</t>
        </is>
      </c>
      <c r="B232" s="9" t="inlineStr">
        <is>
          <t>Support</t>
        </is>
      </c>
      <c r="C232" s="9" t="inlineStr">
        <is>
          <t>L6 - Director</t>
        </is>
      </c>
      <c r="D232" s="10" t="n">
        <v>115394</v>
      </c>
      <c r="E232" s="11" t="n">
        <v>31.8</v>
      </c>
      <c r="F232" s="12">
        <f>E232/100</f>
        <v/>
      </c>
      <c r="G232" s="9" t="inlineStr">
        <is>
          <t>No</t>
        </is>
      </c>
      <c r="H232" s="13">
        <f>VLOOKUP(C232,Assumptions!$A$10:$B$15,2,FALSE)</f>
        <v/>
      </c>
      <c r="I232" s="14">
        <f>D232*H232</f>
        <v/>
      </c>
      <c r="J232" s="12">
        <f>1-(1-F232)^(Assumptions!$B$4/12)</f>
        <v/>
      </c>
      <c r="K232" s="14">
        <f>J232*I232</f>
        <v/>
      </c>
      <c r="L232" s="14">
        <f>IF(G232="Yes",(1-(1-F232*(1-Assumptions!$B$6))^(Assumptions!$B$4/12))*I232,K232)</f>
        <v/>
      </c>
    </row>
    <row r="233">
      <c r="A233" s="9" t="inlineStr">
        <is>
          <t>DF-100011</t>
        </is>
      </c>
      <c r="B233" s="9" t="inlineStr">
        <is>
          <t>Sales</t>
        </is>
      </c>
      <c r="C233" s="9" t="inlineStr">
        <is>
          <t>L1 - Junior</t>
        </is>
      </c>
      <c r="D233" s="10" t="n">
        <v>54501</v>
      </c>
      <c r="E233" s="11" t="n">
        <v>31.7</v>
      </c>
      <c r="F233" s="12">
        <f>E233/100</f>
        <v/>
      </c>
      <c r="G233" s="9" t="inlineStr">
        <is>
          <t>No</t>
        </is>
      </c>
      <c r="H233" s="13">
        <f>VLOOKUP(C233,Assumptions!$A$10:$B$15,2,FALSE)</f>
        <v/>
      </c>
      <c r="I233" s="14">
        <f>D233*H233</f>
        <v/>
      </c>
      <c r="J233" s="12">
        <f>1-(1-F233)^(Assumptions!$B$4/12)</f>
        <v/>
      </c>
      <c r="K233" s="14">
        <f>J233*I233</f>
        <v/>
      </c>
      <c r="L233" s="14">
        <f>IF(G233="Yes",(1-(1-F233*(1-Assumptions!$B$6))^(Assumptions!$B$4/12))*I233,K233)</f>
        <v/>
      </c>
    </row>
    <row r="234">
      <c r="A234" s="9" t="inlineStr">
        <is>
          <t>DF-100139</t>
        </is>
      </c>
      <c r="B234" s="9" t="inlineStr">
        <is>
          <t>Customer Success</t>
        </is>
      </c>
      <c r="C234" s="9" t="inlineStr">
        <is>
          <t>L2 - Mid</t>
        </is>
      </c>
      <c r="D234" s="10" t="n">
        <v>67943</v>
      </c>
      <c r="E234" s="11" t="n">
        <v>31.4</v>
      </c>
      <c r="F234" s="12">
        <f>E234/100</f>
        <v/>
      </c>
      <c r="G234" s="9" t="inlineStr">
        <is>
          <t>No</t>
        </is>
      </c>
      <c r="H234" s="13">
        <f>VLOOKUP(C234,Assumptions!$A$10:$B$15,2,FALSE)</f>
        <v/>
      </c>
      <c r="I234" s="14">
        <f>D234*H234</f>
        <v/>
      </c>
      <c r="J234" s="12">
        <f>1-(1-F234)^(Assumptions!$B$4/12)</f>
        <v/>
      </c>
      <c r="K234" s="14">
        <f>J234*I234</f>
        <v/>
      </c>
      <c r="L234" s="14">
        <f>IF(G234="Yes",(1-(1-F234*(1-Assumptions!$B$6))^(Assumptions!$B$4/12))*I234,K234)</f>
        <v/>
      </c>
    </row>
    <row r="235">
      <c r="A235" s="9" t="inlineStr">
        <is>
          <t>DF-100671</t>
        </is>
      </c>
      <c r="B235" s="9" t="inlineStr">
        <is>
          <t>Engineering</t>
        </is>
      </c>
      <c r="C235" s="9" t="inlineStr">
        <is>
          <t>L3 - Senior</t>
        </is>
      </c>
      <c r="D235" s="10" t="n">
        <v>128575</v>
      </c>
      <c r="E235" s="11" t="n">
        <v>31.4</v>
      </c>
      <c r="F235" s="12">
        <f>E235/100</f>
        <v/>
      </c>
      <c r="G235" s="9" t="inlineStr">
        <is>
          <t>No</t>
        </is>
      </c>
      <c r="H235" s="13">
        <f>VLOOKUP(C235,Assumptions!$A$10:$B$15,2,FALSE)</f>
        <v/>
      </c>
      <c r="I235" s="14">
        <f>D235*H235</f>
        <v/>
      </c>
      <c r="J235" s="12">
        <f>1-(1-F235)^(Assumptions!$B$4/12)</f>
        <v/>
      </c>
      <c r="K235" s="14">
        <f>J235*I235</f>
        <v/>
      </c>
      <c r="L235" s="14">
        <f>IF(G235="Yes",(1-(1-F235*(1-Assumptions!$B$6))^(Assumptions!$B$4/12))*I235,K235)</f>
        <v/>
      </c>
    </row>
    <row r="236">
      <c r="A236" s="9" t="inlineStr">
        <is>
          <t>DF-100528</t>
        </is>
      </c>
      <c r="B236" s="9" t="inlineStr">
        <is>
          <t>Product</t>
        </is>
      </c>
      <c r="C236" s="9" t="inlineStr">
        <is>
          <t>L5 - Manager</t>
        </is>
      </c>
      <c r="D236" s="10" t="n">
        <v>166780</v>
      </c>
      <c r="E236" s="11" t="n">
        <v>31.3</v>
      </c>
      <c r="F236" s="12">
        <f>E236/100</f>
        <v/>
      </c>
      <c r="G236" s="9" t="inlineStr">
        <is>
          <t>No</t>
        </is>
      </c>
      <c r="H236" s="13">
        <f>VLOOKUP(C236,Assumptions!$A$10:$B$15,2,FALSE)</f>
        <v/>
      </c>
      <c r="I236" s="14">
        <f>D236*H236</f>
        <v/>
      </c>
      <c r="J236" s="12">
        <f>1-(1-F236)^(Assumptions!$B$4/12)</f>
        <v/>
      </c>
      <c r="K236" s="14">
        <f>J236*I236</f>
        <v/>
      </c>
      <c r="L236" s="14">
        <f>IF(G236="Yes",(1-(1-F236*(1-Assumptions!$B$6))^(Assumptions!$B$4/12))*I236,K236)</f>
        <v/>
      </c>
    </row>
    <row r="237">
      <c r="A237" s="9" t="inlineStr">
        <is>
          <t>DF-100673</t>
        </is>
      </c>
      <c r="B237" s="9" t="inlineStr">
        <is>
          <t>Sales</t>
        </is>
      </c>
      <c r="C237" s="9" t="inlineStr">
        <is>
          <t>L5 - Manager</t>
        </is>
      </c>
      <c r="D237" s="10" t="n">
        <v>134961</v>
      </c>
      <c r="E237" s="11" t="n">
        <v>31.1</v>
      </c>
      <c r="F237" s="12">
        <f>E237/100</f>
        <v/>
      </c>
      <c r="G237" s="9" t="inlineStr">
        <is>
          <t>No</t>
        </is>
      </c>
      <c r="H237" s="13">
        <f>VLOOKUP(C237,Assumptions!$A$10:$B$15,2,FALSE)</f>
        <v/>
      </c>
      <c r="I237" s="14">
        <f>D237*H237</f>
        <v/>
      </c>
      <c r="J237" s="12">
        <f>1-(1-F237)^(Assumptions!$B$4/12)</f>
        <v/>
      </c>
      <c r="K237" s="14">
        <f>J237*I237</f>
        <v/>
      </c>
      <c r="L237" s="14">
        <f>IF(G237="Yes",(1-(1-F237*(1-Assumptions!$B$6))^(Assumptions!$B$4/12))*I237,K237)</f>
        <v/>
      </c>
    </row>
    <row r="238">
      <c r="A238" s="9" t="inlineStr">
        <is>
          <t>DF-100459</t>
        </is>
      </c>
      <c r="B238" s="9" t="inlineStr">
        <is>
          <t>Support</t>
        </is>
      </c>
      <c r="C238" s="9" t="inlineStr">
        <is>
          <t>L2 - Mid</t>
        </is>
      </c>
      <c r="D238" s="10" t="n">
        <v>51776</v>
      </c>
      <c r="E238" s="11" t="n">
        <v>30.9</v>
      </c>
      <c r="F238" s="12">
        <f>E238/100</f>
        <v/>
      </c>
      <c r="G238" s="9" t="inlineStr">
        <is>
          <t>No</t>
        </is>
      </c>
      <c r="H238" s="13">
        <f>VLOOKUP(C238,Assumptions!$A$10:$B$15,2,FALSE)</f>
        <v/>
      </c>
      <c r="I238" s="14">
        <f>D238*H238</f>
        <v/>
      </c>
      <c r="J238" s="12">
        <f>1-(1-F238)^(Assumptions!$B$4/12)</f>
        <v/>
      </c>
      <c r="K238" s="14">
        <f>J238*I238</f>
        <v/>
      </c>
      <c r="L238" s="14">
        <f>IF(G238="Yes",(1-(1-F238*(1-Assumptions!$B$6))^(Assumptions!$B$4/12))*I238,K238)</f>
        <v/>
      </c>
    </row>
    <row r="239">
      <c r="A239" s="9" t="inlineStr">
        <is>
          <t>DF-100364</t>
        </is>
      </c>
      <c r="B239" s="9" t="inlineStr">
        <is>
          <t>Support</t>
        </is>
      </c>
      <c r="C239" s="9" t="inlineStr">
        <is>
          <t>L1 - Junior</t>
        </is>
      </c>
      <c r="D239" s="10" t="n">
        <v>38417</v>
      </c>
      <c r="E239" s="11" t="n">
        <v>30.6</v>
      </c>
      <c r="F239" s="12">
        <f>E239/100</f>
        <v/>
      </c>
      <c r="G239" s="9" t="inlineStr">
        <is>
          <t>No</t>
        </is>
      </c>
      <c r="H239" s="13">
        <f>VLOOKUP(C239,Assumptions!$A$10:$B$15,2,FALSE)</f>
        <v/>
      </c>
      <c r="I239" s="14">
        <f>D239*H239</f>
        <v/>
      </c>
      <c r="J239" s="12">
        <f>1-(1-F239)^(Assumptions!$B$4/12)</f>
        <v/>
      </c>
      <c r="K239" s="14">
        <f>J239*I239</f>
        <v/>
      </c>
      <c r="L239" s="14">
        <f>IF(G239="Yes",(1-(1-F239*(1-Assumptions!$B$6))^(Assumptions!$B$4/12))*I239,K239)</f>
        <v/>
      </c>
    </row>
    <row r="240">
      <c r="A240" s="9" t="inlineStr">
        <is>
          <t>DF-100024</t>
        </is>
      </c>
      <c r="B240" s="9" t="inlineStr">
        <is>
          <t>Product</t>
        </is>
      </c>
      <c r="C240" s="9" t="inlineStr">
        <is>
          <t>L1 - Junior</t>
        </is>
      </c>
      <c r="D240" s="10" t="n">
        <v>57300</v>
      </c>
      <c r="E240" s="11" t="n">
        <v>30.5</v>
      </c>
      <c r="F240" s="12">
        <f>E240/100</f>
        <v/>
      </c>
      <c r="G240" s="9" t="inlineStr">
        <is>
          <t>No</t>
        </is>
      </c>
      <c r="H240" s="13">
        <f>VLOOKUP(C240,Assumptions!$A$10:$B$15,2,FALSE)</f>
        <v/>
      </c>
      <c r="I240" s="14">
        <f>D240*H240</f>
        <v/>
      </c>
      <c r="J240" s="12">
        <f>1-(1-F240)^(Assumptions!$B$4/12)</f>
        <v/>
      </c>
      <c r="K240" s="14">
        <f>J240*I240</f>
        <v/>
      </c>
      <c r="L240" s="14">
        <f>IF(G240="Yes",(1-(1-F240*(1-Assumptions!$B$6))^(Assumptions!$B$4/12))*I240,K240)</f>
        <v/>
      </c>
    </row>
    <row r="241">
      <c r="A241" s="9" t="inlineStr">
        <is>
          <t>DF-100240</t>
        </is>
      </c>
      <c r="B241" s="9" t="inlineStr">
        <is>
          <t>Customer Success</t>
        </is>
      </c>
      <c r="C241" s="9" t="inlineStr">
        <is>
          <t>L2 - Mid</t>
        </is>
      </c>
      <c r="D241" s="10" t="n">
        <v>81041</v>
      </c>
      <c r="E241" s="11" t="n">
        <v>30.5</v>
      </c>
      <c r="F241" s="12">
        <f>E241/100</f>
        <v/>
      </c>
      <c r="G241" s="9" t="inlineStr">
        <is>
          <t>No</t>
        </is>
      </c>
      <c r="H241" s="13">
        <f>VLOOKUP(C241,Assumptions!$A$10:$B$15,2,FALSE)</f>
        <v/>
      </c>
      <c r="I241" s="14">
        <f>D241*H241</f>
        <v/>
      </c>
      <c r="J241" s="12">
        <f>1-(1-F241)^(Assumptions!$B$4/12)</f>
        <v/>
      </c>
      <c r="K241" s="14">
        <f>J241*I241</f>
        <v/>
      </c>
      <c r="L241" s="14">
        <f>IF(G241="Yes",(1-(1-F241*(1-Assumptions!$B$6))^(Assumptions!$B$4/12))*I241,K241)</f>
        <v/>
      </c>
    </row>
    <row r="242">
      <c r="A242" s="9" t="inlineStr">
        <is>
          <t>DF-100265</t>
        </is>
      </c>
      <c r="B242" s="9" t="inlineStr">
        <is>
          <t>Marketing</t>
        </is>
      </c>
      <c r="C242" s="9" t="inlineStr">
        <is>
          <t>L4 - Lead</t>
        </is>
      </c>
      <c r="D242" s="10" t="n">
        <v>123039</v>
      </c>
      <c r="E242" s="11" t="n">
        <v>30.3</v>
      </c>
      <c r="F242" s="12">
        <f>E242/100</f>
        <v/>
      </c>
      <c r="G242" s="9" t="inlineStr">
        <is>
          <t>No</t>
        </is>
      </c>
      <c r="H242" s="13">
        <f>VLOOKUP(C242,Assumptions!$A$10:$B$15,2,FALSE)</f>
        <v/>
      </c>
      <c r="I242" s="14">
        <f>D242*H242</f>
        <v/>
      </c>
      <c r="J242" s="12">
        <f>1-(1-F242)^(Assumptions!$B$4/12)</f>
        <v/>
      </c>
      <c r="K242" s="14">
        <f>J242*I242</f>
        <v/>
      </c>
      <c r="L242" s="14">
        <f>IF(G242="Yes",(1-(1-F242*(1-Assumptions!$B$6))^(Assumptions!$B$4/12))*I242,K242)</f>
        <v/>
      </c>
    </row>
    <row r="243">
      <c r="A243" s="9" t="inlineStr">
        <is>
          <t>DF-100324</t>
        </is>
      </c>
      <c r="B243" s="9" t="inlineStr">
        <is>
          <t>Support</t>
        </is>
      </c>
      <c r="C243" s="9" t="inlineStr">
        <is>
          <t>L1 - Junior</t>
        </is>
      </c>
      <c r="D243" s="10" t="n">
        <v>46640</v>
      </c>
      <c r="E243" s="11" t="n">
        <v>30.3</v>
      </c>
      <c r="F243" s="12">
        <f>E243/100</f>
        <v/>
      </c>
      <c r="G243" s="9" t="inlineStr">
        <is>
          <t>No</t>
        </is>
      </c>
      <c r="H243" s="13">
        <f>VLOOKUP(C243,Assumptions!$A$10:$B$15,2,FALSE)</f>
        <v/>
      </c>
      <c r="I243" s="14">
        <f>D243*H243</f>
        <v/>
      </c>
      <c r="J243" s="12">
        <f>1-(1-F243)^(Assumptions!$B$4/12)</f>
        <v/>
      </c>
      <c r="K243" s="14">
        <f>J243*I243</f>
        <v/>
      </c>
      <c r="L243" s="14">
        <f>IF(G243="Yes",(1-(1-F243*(1-Assumptions!$B$6))^(Assumptions!$B$4/12))*I243,K243)</f>
        <v/>
      </c>
    </row>
    <row r="244">
      <c r="A244" s="9" t="inlineStr">
        <is>
          <t>DF-100425</t>
        </is>
      </c>
      <c r="B244" s="9" t="inlineStr">
        <is>
          <t>Operations</t>
        </is>
      </c>
      <c r="C244" s="9" t="inlineStr">
        <is>
          <t>L2 - Mid</t>
        </is>
      </c>
      <c r="D244" s="10" t="n">
        <v>57019</v>
      </c>
      <c r="E244" s="11" t="n">
        <v>30.2</v>
      </c>
      <c r="F244" s="12">
        <f>E244/100</f>
        <v/>
      </c>
      <c r="G244" s="9" t="inlineStr">
        <is>
          <t>No</t>
        </is>
      </c>
      <c r="H244" s="13">
        <f>VLOOKUP(C244,Assumptions!$A$10:$B$15,2,FALSE)</f>
        <v/>
      </c>
      <c r="I244" s="14">
        <f>D244*H244</f>
        <v/>
      </c>
      <c r="J244" s="12">
        <f>1-(1-F244)^(Assumptions!$B$4/12)</f>
        <v/>
      </c>
      <c r="K244" s="14">
        <f>J244*I244</f>
        <v/>
      </c>
      <c r="L244" s="14">
        <f>IF(G244="Yes",(1-(1-F244*(1-Assumptions!$B$6))^(Assumptions!$B$4/12))*I244,K244)</f>
        <v/>
      </c>
    </row>
    <row r="245">
      <c r="A245" s="9" t="inlineStr">
        <is>
          <t>DF-100637</t>
        </is>
      </c>
      <c r="B245" s="9" t="inlineStr">
        <is>
          <t>People/HR</t>
        </is>
      </c>
      <c r="C245" s="9" t="inlineStr">
        <is>
          <t>L2 - Mid</t>
        </is>
      </c>
      <c r="D245" s="10" t="n">
        <v>59014</v>
      </c>
      <c r="E245" s="11" t="n">
        <v>30.1</v>
      </c>
      <c r="F245" s="12">
        <f>E245/100</f>
        <v/>
      </c>
      <c r="G245" s="9" t="inlineStr">
        <is>
          <t>No</t>
        </is>
      </c>
      <c r="H245" s="13">
        <f>VLOOKUP(C245,Assumptions!$A$10:$B$15,2,FALSE)</f>
        <v/>
      </c>
      <c r="I245" s="14">
        <f>D245*H245</f>
        <v/>
      </c>
      <c r="J245" s="12">
        <f>1-(1-F245)^(Assumptions!$B$4/12)</f>
        <v/>
      </c>
      <c r="K245" s="14">
        <f>J245*I245</f>
        <v/>
      </c>
      <c r="L245" s="14">
        <f>IF(G245="Yes",(1-(1-F245*(1-Assumptions!$B$6))^(Assumptions!$B$4/12))*I245,K245)</f>
        <v/>
      </c>
    </row>
    <row r="246">
      <c r="A246" s="9" t="inlineStr">
        <is>
          <t>DF-100592</t>
        </is>
      </c>
      <c r="B246" s="9" t="inlineStr">
        <is>
          <t>Data &amp; Analytics</t>
        </is>
      </c>
      <c r="C246" s="9" t="inlineStr">
        <is>
          <t>L3 - Senior</t>
        </is>
      </c>
      <c r="D246" s="10" t="n">
        <v>101989</v>
      </c>
      <c r="E246" s="11" t="n">
        <v>30.1</v>
      </c>
      <c r="F246" s="12">
        <f>E246/100</f>
        <v/>
      </c>
      <c r="G246" s="9" t="inlineStr">
        <is>
          <t>No</t>
        </is>
      </c>
      <c r="H246" s="13">
        <f>VLOOKUP(C246,Assumptions!$A$10:$B$15,2,FALSE)</f>
        <v/>
      </c>
      <c r="I246" s="14">
        <f>D246*H246</f>
        <v/>
      </c>
      <c r="J246" s="12">
        <f>1-(1-F246)^(Assumptions!$B$4/12)</f>
        <v/>
      </c>
      <c r="K246" s="14">
        <f>J246*I246</f>
        <v/>
      </c>
      <c r="L246" s="14">
        <f>IF(G246="Yes",(1-(1-F246*(1-Assumptions!$B$6))^(Assumptions!$B$4/12))*I246,K246)</f>
        <v/>
      </c>
    </row>
    <row r="247">
      <c r="A247" s="9" t="inlineStr">
        <is>
          <t>DF-100088</t>
        </is>
      </c>
      <c r="B247" s="9" t="inlineStr">
        <is>
          <t>Data &amp; Analytics</t>
        </is>
      </c>
      <c r="C247" s="9" t="inlineStr">
        <is>
          <t>L5 - Manager</t>
        </is>
      </c>
      <c r="D247" s="10" t="n">
        <v>149464</v>
      </c>
      <c r="E247" s="11" t="n">
        <v>30</v>
      </c>
      <c r="F247" s="12">
        <f>E247/100</f>
        <v/>
      </c>
      <c r="G247" s="9" t="inlineStr">
        <is>
          <t>No</t>
        </is>
      </c>
      <c r="H247" s="13">
        <f>VLOOKUP(C247,Assumptions!$A$10:$B$15,2,FALSE)</f>
        <v/>
      </c>
      <c r="I247" s="14">
        <f>D247*H247</f>
        <v/>
      </c>
      <c r="J247" s="12">
        <f>1-(1-F247)^(Assumptions!$B$4/12)</f>
        <v/>
      </c>
      <c r="K247" s="14">
        <f>J247*I247</f>
        <v/>
      </c>
      <c r="L247" s="14">
        <f>IF(G247="Yes",(1-(1-F247*(1-Assumptions!$B$6))^(Assumptions!$B$4/12))*I247,K247)</f>
        <v/>
      </c>
    </row>
    <row r="248">
      <c r="A248" s="9" t="inlineStr">
        <is>
          <t>DF-100084</t>
        </is>
      </c>
      <c r="B248" s="9" t="inlineStr">
        <is>
          <t>Sales</t>
        </is>
      </c>
      <c r="C248" s="9" t="inlineStr">
        <is>
          <t>L2 - Mid</t>
        </is>
      </c>
      <c r="D248" s="10" t="n">
        <v>67630</v>
      </c>
      <c r="E248" s="11" t="n">
        <v>29.7</v>
      </c>
      <c r="F248" s="12">
        <f>E248/100</f>
        <v/>
      </c>
      <c r="G248" s="9" t="inlineStr">
        <is>
          <t>No</t>
        </is>
      </c>
      <c r="H248" s="13">
        <f>VLOOKUP(C248,Assumptions!$A$10:$B$15,2,FALSE)</f>
        <v/>
      </c>
      <c r="I248" s="14">
        <f>D248*H248</f>
        <v/>
      </c>
      <c r="J248" s="12">
        <f>1-(1-F248)^(Assumptions!$B$4/12)</f>
        <v/>
      </c>
      <c r="K248" s="14">
        <f>J248*I248</f>
        <v/>
      </c>
      <c r="L248" s="14">
        <f>IF(G248="Yes",(1-(1-F248*(1-Assumptions!$B$6))^(Assumptions!$B$4/12))*I248,K248)</f>
        <v/>
      </c>
    </row>
    <row r="249">
      <c r="A249" s="9" t="inlineStr">
        <is>
          <t>DF-100318</t>
        </is>
      </c>
      <c r="B249" s="9" t="inlineStr">
        <is>
          <t>People/HR</t>
        </is>
      </c>
      <c r="C249" s="9" t="inlineStr">
        <is>
          <t>L2 - Mid</t>
        </is>
      </c>
      <c r="D249" s="10" t="n">
        <v>70832</v>
      </c>
      <c r="E249" s="11" t="n">
        <v>29.6</v>
      </c>
      <c r="F249" s="12">
        <f>E249/100</f>
        <v/>
      </c>
      <c r="G249" s="9" t="inlineStr">
        <is>
          <t>No</t>
        </is>
      </c>
      <c r="H249" s="13">
        <f>VLOOKUP(C249,Assumptions!$A$10:$B$15,2,FALSE)</f>
        <v/>
      </c>
      <c r="I249" s="14">
        <f>D249*H249</f>
        <v/>
      </c>
      <c r="J249" s="12">
        <f>1-(1-F249)^(Assumptions!$B$4/12)</f>
        <v/>
      </c>
      <c r="K249" s="14">
        <f>J249*I249</f>
        <v/>
      </c>
      <c r="L249" s="14">
        <f>IF(G249="Yes",(1-(1-F249*(1-Assumptions!$B$6))^(Assumptions!$B$4/12))*I249,K249)</f>
        <v/>
      </c>
    </row>
    <row r="250">
      <c r="A250" s="9" t="inlineStr">
        <is>
          <t>DF-100182</t>
        </is>
      </c>
      <c r="B250" s="9" t="inlineStr">
        <is>
          <t>Operations</t>
        </is>
      </c>
      <c r="C250" s="9" t="inlineStr">
        <is>
          <t>L6 - Director</t>
        </is>
      </c>
      <c r="D250" s="10" t="n">
        <v>160579</v>
      </c>
      <c r="E250" s="11" t="n">
        <v>29.5</v>
      </c>
      <c r="F250" s="12">
        <f>E250/100</f>
        <v/>
      </c>
      <c r="G250" s="9" t="inlineStr">
        <is>
          <t>No</t>
        </is>
      </c>
      <c r="H250" s="13">
        <f>VLOOKUP(C250,Assumptions!$A$10:$B$15,2,FALSE)</f>
        <v/>
      </c>
      <c r="I250" s="14">
        <f>D250*H250</f>
        <v/>
      </c>
      <c r="J250" s="12">
        <f>1-(1-F250)^(Assumptions!$B$4/12)</f>
        <v/>
      </c>
      <c r="K250" s="14">
        <f>J250*I250</f>
        <v/>
      </c>
      <c r="L250" s="14">
        <f>IF(G250="Yes",(1-(1-F250*(1-Assumptions!$B$6))^(Assumptions!$B$4/12))*I250,K250)</f>
        <v/>
      </c>
    </row>
    <row r="251">
      <c r="A251" s="9" t="inlineStr">
        <is>
          <t>DF-100155</t>
        </is>
      </c>
      <c r="B251" s="9" t="inlineStr">
        <is>
          <t>Marketing</t>
        </is>
      </c>
      <c r="C251" s="9" t="inlineStr">
        <is>
          <t>L2 - Mid</t>
        </is>
      </c>
      <c r="D251" s="10" t="n">
        <v>62483</v>
      </c>
      <c r="E251" s="11" t="n">
        <v>29.4</v>
      </c>
      <c r="F251" s="12">
        <f>E251/100</f>
        <v/>
      </c>
      <c r="G251" s="9" t="inlineStr">
        <is>
          <t>No</t>
        </is>
      </c>
      <c r="H251" s="13">
        <f>VLOOKUP(C251,Assumptions!$A$10:$B$15,2,FALSE)</f>
        <v/>
      </c>
      <c r="I251" s="14">
        <f>D251*H251</f>
        <v/>
      </c>
      <c r="J251" s="12">
        <f>1-(1-F251)^(Assumptions!$B$4/12)</f>
        <v/>
      </c>
      <c r="K251" s="14">
        <f>J251*I251</f>
        <v/>
      </c>
      <c r="L251" s="14">
        <f>IF(G251="Yes",(1-(1-F251*(1-Assumptions!$B$6))^(Assumptions!$B$4/12))*I251,K251)</f>
        <v/>
      </c>
    </row>
    <row r="252">
      <c r="A252" s="9" t="inlineStr">
        <is>
          <t>DF-100157</t>
        </is>
      </c>
      <c r="B252" s="9" t="inlineStr">
        <is>
          <t>Product</t>
        </is>
      </c>
      <c r="C252" s="9" t="inlineStr">
        <is>
          <t>L4 - Lead</t>
        </is>
      </c>
      <c r="D252" s="10" t="n">
        <v>129702</v>
      </c>
      <c r="E252" s="11" t="n">
        <v>29.3</v>
      </c>
      <c r="F252" s="12">
        <f>E252/100</f>
        <v/>
      </c>
      <c r="G252" s="9" t="inlineStr">
        <is>
          <t>No</t>
        </is>
      </c>
      <c r="H252" s="13">
        <f>VLOOKUP(C252,Assumptions!$A$10:$B$15,2,FALSE)</f>
        <v/>
      </c>
      <c r="I252" s="14">
        <f>D252*H252</f>
        <v/>
      </c>
      <c r="J252" s="12">
        <f>1-(1-F252)^(Assumptions!$B$4/12)</f>
        <v/>
      </c>
      <c r="K252" s="14">
        <f>J252*I252</f>
        <v/>
      </c>
      <c r="L252" s="14">
        <f>IF(G252="Yes",(1-(1-F252*(1-Assumptions!$B$6))^(Assumptions!$B$4/12))*I252,K252)</f>
        <v/>
      </c>
    </row>
    <row r="253">
      <c r="A253" s="9" t="inlineStr">
        <is>
          <t>DF-100340</t>
        </is>
      </c>
      <c r="B253" s="9" t="inlineStr">
        <is>
          <t>Support</t>
        </is>
      </c>
      <c r="C253" s="9" t="inlineStr">
        <is>
          <t>L1 - Junior</t>
        </is>
      </c>
      <c r="D253" s="10" t="n">
        <v>39393</v>
      </c>
      <c r="E253" s="11" t="n">
        <v>29.2</v>
      </c>
      <c r="F253" s="12">
        <f>E253/100</f>
        <v/>
      </c>
      <c r="G253" s="9" t="inlineStr">
        <is>
          <t>No</t>
        </is>
      </c>
      <c r="H253" s="13">
        <f>VLOOKUP(C253,Assumptions!$A$10:$B$15,2,FALSE)</f>
        <v/>
      </c>
      <c r="I253" s="14">
        <f>D253*H253</f>
        <v/>
      </c>
      <c r="J253" s="12">
        <f>1-(1-F253)^(Assumptions!$B$4/12)</f>
        <v/>
      </c>
      <c r="K253" s="14">
        <f>J253*I253</f>
        <v/>
      </c>
      <c r="L253" s="14">
        <f>IF(G253="Yes",(1-(1-F253*(1-Assumptions!$B$6))^(Assumptions!$B$4/12))*I253,K253)</f>
        <v/>
      </c>
    </row>
    <row r="254">
      <c r="A254" s="9" t="inlineStr">
        <is>
          <t>DF-100483</t>
        </is>
      </c>
      <c r="B254" s="9" t="inlineStr">
        <is>
          <t>Product</t>
        </is>
      </c>
      <c r="C254" s="9" t="inlineStr">
        <is>
          <t>L1 - Junior</t>
        </is>
      </c>
      <c r="D254" s="10" t="n">
        <v>69183</v>
      </c>
      <c r="E254" s="11" t="n">
        <v>29.1</v>
      </c>
      <c r="F254" s="12">
        <f>E254/100</f>
        <v/>
      </c>
      <c r="G254" s="9" t="inlineStr">
        <is>
          <t>No</t>
        </is>
      </c>
      <c r="H254" s="13">
        <f>VLOOKUP(C254,Assumptions!$A$10:$B$15,2,FALSE)</f>
        <v/>
      </c>
      <c r="I254" s="14">
        <f>D254*H254</f>
        <v/>
      </c>
      <c r="J254" s="12">
        <f>1-(1-F254)^(Assumptions!$B$4/12)</f>
        <v/>
      </c>
      <c r="K254" s="14">
        <f>J254*I254</f>
        <v/>
      </c>
      <c r="L254" s="14">
        <f>IF(G254="Yes",(1-(1-F254*(1-Assumptions!$B$6))^(Assumptions!$B$4/12))*I254,K254)</f>
        <v/>
      </c>
    </row>
    <row r="255">
      <c r="A255" s="9" t="inlineStr">
        <is>
          <t>DF-100242</t>
        </is>
      </c>
      <c r="B255" s="9" t="inlineStr">
        <is>
          <t>Sales</t>
        </is>
      </c>
      <c r="C255" s="9" t="inlineStr">
        <is>
          <t>L1 - Junior</t>
        </is>
      </c>
      <c r="D255" s="10" t="n">
        <v>50861</v>
      </c>
      <c r="E255" s="11" t="n">
        <v>29</v>
      </c>
      <c r="F255" s="12">
        <f>E255/100</f>
        <v/>
      </c>
      <c r="G255" s="9" t="inlineStr">
        <is>
          <t>No</t>
        </is>
      </c>
      <c r="H255" s="13">
        <f>VLOOKUP(C255,Assumptions!$A$10:$B$15,2,FALSE)</f>
        <v/>
      </c>
      <c r="I255" s="14">
        <f>D255*H255</f>
        <v/>
      </c>
      <c r="J255" s="12">
        <f>1-(1-F255)^(Assumptions!$B$4/12)</f>
        <v/>
      </c>
      <c r="K255" s="14">
        <f>J255*I255</f>
        <v/>
      </c>
      <c r="L255" s="14">
        <f>IF(G255="Yes",(1-(1-F255*(1-Assumptions!$B$6))^(Assumptions!$B$4/12))*I255,K255)</f>
        <v/>
      </c>
    </row>
    <row r="256">
      <c r="A256" s="9" t="inlineStr">
        <is>
          <t>DF-100523</t>
        </is>
      </c>
      <c r="B256" s="9" t="inlineStr">
        <is>
          <t>Engineering</t>
        </is>
      </c>
      <c r="C256" s="9" t="inlineStr">
        <is>
          <t>L4 - Lead</t>
        </is>
      </c>
      <c r="D256" s="10" t="n">
        <v>145643</v>
      </c>
      <c r="E256" s="11" t="n">
        <v>29</v>
      </c>
      <c r="F256" s="12">
        <f>E256/100</f>
        <v/>
      </c>
      <c r="G256" s="9" t="inlineStr">
        <is>
          <t>No</t>
        </is>
      </c>
      <c r="H256" s="13">
        <f>VLOOKUP(C256,Assumptions!$A$10:$B$15,2,FALSE)</f>
        <v/>
      </c>
      <c r="I256" s="14">
        <f>D256*H256</f>
        <v/>
      </c>
      <c r="J256" s="12">
        <f>1-(1-F256)^(Assumptions!$B$4/12)</f>
        <v/>
      </c>
      <c r="K256" s="14">
        <f>J256*I256</f>
        <v/>
      </c>
      <c r="L256" s="14">
        <f>IF(G256="Yes",(1-(1-F256*(1-Assumptions!$B$6))^(Assumptions!$B$4/12))*I256,K256)</f>
        <v/>
      </c>
    </row>
    <row r="257">
      <c r="A257" s="9" t="inlineStr">
        <is>
          <t>DF-100166</t>
        </is>
      </c>
      <c r="B257" s="9" t="inlineStr">
        <is>
          <t>Data &amp; Analytics</t>
        </is>
      </c>
      <c r="C257" s="9" t="inlineStr">
        <is>
          <t>L2 - Mid</t>
        </is>
      </c>
      <c r="D257" s="10" t="n">
        <v>98642</v>
      </c>
      <c r="E257" s="11" t="n">
        <v>28.9</v>
      </c>
      <c r="F257" s="12">
        <f>E257/100</f>
        <v/>
      </c>
      <c r="G257" s="9" t="inlineStr">
        <is>
          <t>No</t>
        </is>
      </c>
      <c r="H257" s="13">
        <f>VLOOKUP(C257,Assumptions!$A$10:$B$15,2,FALSE)</f>
        <v/>
      </c>
      <c r="I257" s="14">
        <f>D257*H257</f>
        <v/>
      </c>
      <c r="J257" s="12">
        <f>1-(1-F257)^(Assumptions!$B$4/12)</f>
        <v/>
      </c>
      <c r="K257" s="14">
        <f>J257*I257</f>
        <v/>
      </c>
      <c r="L257" s="14">
        <f>IF(G257="Yes",(1-(1-F257*(1-Assumptions!$B$6))^(Assumptions!$B$4/12))*I257,K257)</f>
        <v/>
      </c>
    </row>
    <row r="258">
      <c r="A258" s="9" t="inlineStr">
        <is>
          <t>DF-100306</t>
        </is>
      </c>
      <c r="B258" s="9" t="inlineStr">
        <is>
          <t>Engineering</t>
        </is>
      </c>
      <c r="C258" s="9" t="inlineStr">
        <is>
          <t>L2 - Mid</t>
        </is>
      </c>
      <c r="D258" s="10" t="n">
        <v>82306</v>
      </c>
      <c r="E258" s="11" t="n">
        <v>28.8</v>
      </c>
      <c r="F258" s="12">
        <f>E258/100</f>
        <v/>
      </c>
      <c r="G258" s="9" t="inlineStr">
        <is>
          <t>No</t>
        </is>
      </c>
      <c r="H258" s="13">
        <f>VLOOKUP(C258,Assumptions!$A$10:$B$15,2,FALSE)</f>
        <v/>
      </c>
      <c r="I258" s="14">
        <f>D258*H258</f>
        <v/>
      </c>
      <c r="J258" s="12">
        <f>1-(1-F258)^(Assumptions!$B$4/12)</f>
        <v/>
      </c>
      <c r="K258" s="14">
        <f>J258*I258</f>
        <v/>
      </c>
      <c r="L258" s="14">
        <f>IF(G258="Yes",(1-(1-F258*(1-Assumptions!$B$6))^(Assumptions!$B$4/12))*I258,K258)</f>
        <v/>
      </c>
    </row>
    <row r="259">
      <c r="A259" s="9" t="inlineStr">
        <is>
          <t>DF-100235</t>
        </is>
      </c>
      <c r="B259" s="9" t="inlineStr">
        <is>
          <t>Sales</t>
        </is>
      </c>
      <c r="C259" s="9" t="inlineStr">
        <is>
          <t>L4 - Lead</t>
        </is>
      </c>
      <c r="D259" s="10" t="n">
        <v>126491</v>
      </c>
      <c r="E259" s="11" t="n">
        <v>28.7</v>
      </c>
      <c r="F259" s="12">
        <f>E259/100</f>
        <v/>
      </c>
      <c r="G259" s="9" t="inlineStr">
        <is>
          <t>No</t>
        </is>
      </c>
      <c r="H259" s="13">
        <f>VLOOKUP(C259,Assumptions!$A$10:$B$15,2,FALSE)</f>
        <v/>
      </c>
      <c r="I259" s="14">
        <f>D259*H259</f>
        <v/>
      </c>
      <c r="J259" s="12">
        <f>1-(1-F259)^(Assumptions!$B$4/12)</f>
        <v/>
      </c>
      <c r="K259" s="14">
        <f>J259*I259</f>
        <v/>
      </c>
      <c r="L259" s="14">
        <f>IF(G259="Yes",(1-(1-F259*(1-Assumptions!$B$6))^(Assumptions!$B$4/12))*I259,K259)</f>
        <v/>
      </c>
    </row>
    <row r="260">
      <c r="A260" s="9" t="inlineStr">
        <is>
          <t>DF-100599</t>
        </is>
      </c>
      <c r="B260" s="9" t="inlineStr">
        <is>
          <t>Customer Success</t>
        </is>
      </c>
      <c r="C260" s="9" t="inlineStr">
        <is>
          <t>L1 - Junior</t>
        </is>
      </c>
      <c r="D260" s="10" t="n">
        <v>46131</v>
      </c>
      <c r="E260" s="11" t="n">
        <v>28.5</v>
      </c>
      <c r="F260" s="12">
        <f>E260/100</f>
        <v/>
      </c>
      <c r="G260" s="9" t="inlineStr">
        <is>
          <t>No</t>
        </is>
      </c>
      <c r="H260" s="13">
        <f>VLOOKUP(C260,Assumptions!$A$10:$B$15,2,FALSE)</f>
        <v/>
      </c>
      <c r="I260" s="14">
        <f>D260*H260</f>
        <v/>
      </c>
      <c r="J260" s="12">
        <f>1-(1-F260)^(Assumptions!$B$4/12)</f>
        <v/>
      </c>
      <c r="K260" s="14">
        <f>J260*I260</f>
        <v/>
      </c>
      <c r="L260" s="14">
        <f>IF(G260="Yes",(1-(1-F260*(1-Assumptions!$B$6))^(Assumptions!$B$4/12))*I260,K260)</f>
        <v/>
      </c>
    </row>
    <row r="261">
      <c r="A261" s="9" t="inlineStr">
        <is>
          <t>DF-100590</t>
        </is>
      </c>
      <c r="B261" s="9" t="inlineStr">
        <is>
          <t>People/HR</t>
        </is>
      </c>
      <c r="C261" s="9" t="inlineStr">
        <is>
          <t>L1 - Junior</t>
        </is>
      </c>
      <c r="D261" s="10" t="n">
        <v>52335</v>
      </c>
      <c r="E261" s="11" t="n">
        <v>28.2</v>
      </c>
      <c r="F261" s="12">
        <f>E261/100</f>
        <v/>
      </c>
      <c r="G261" s="9" t="inlineStr">
        <is>
          <t>No</t>
        </is>
      </c>
      <c r="H261" s="13">
        <f>VLOOKUP(C261,Assumptions!$A$10:$B$15,2,FALSE)</f>
        <v/>
      </c>
      <c r="I261" s="14">
        <f>D261*H261</f>
        <v/>
      </c>
      <c r="J261" s="12">
        <f>1-(1-F261)^(Assumptions!$B$4/12)</f>
        <v/>
      </c>
      <c r="K261" s="14">
        <f>J261*I261</f>
        <v/>
      </c>
      <c r="L261" s="14">
        <f>IF(G261="Yes",(1-(1-F261*(1-Assumptions!$B$6))^(Assumptions!$B$4/12))*I261,K261)</f>
        <v/>
      </c>
    </row>
    <row r="262">
      <c r="A262" s="9" t="inlineStr">
        <is>
          <t>DF-100100</t>
        </is>
      </c>
      <c r="B262" s="9" t="inlineStr">
        <is>
          <t>Support</t>
        </is>
      </c>
      <c r="C262" s="9" t="inlineStr">
        <is>
          <t>L3 - Senior</t>
        </is>
      </c>
      <c r="D262" s="10" t="n">
        <v>68558</v>
      </c>
      <c r="E262" s="11" t="n">
        <v>28.2</v>
      </c>
      <c r="F262" s="12">
        <f>E262/100</f>
        <v/>
      </c>
      <c r="G262" s="9" t="inlineStr">
        <is>
          <t>No</t>
        </is>
      </c>
      <c r="H262" s="13">
        <f>VLOOKUP(C262,Assumptions!$A$10:$B$15,2,FALSE)</f>
        <v/>
      </c>
      <c r="I262" s="14">
        <f>D262*H262</f>
        <v/>
      </c>
      <c r="J262" s="12">
        <f>1-(1-F262)^(Assumptions!$B$4/12)</f>
        <v/>
      </c>
      <c r="K262" s="14">
        <f>J262*I262</f>
        <v/>
      </c>
      <c r="L262" s="14">
        <f>IF(G262="Yes",(1-(1-F262*(1-Assumptions!$B$6))^(Assumptions!$B$4/12))*I262,K262)</f>
        <v/>
      </c>
    </row>
    <row r="263">
      <c r="A263" s="9" t="inlineStr">
        <is>
          <t>DF-100119</t>
        </is>
      </c>
      <c r="B263" s="9" t="inlineStr">
        <is>
          <t>Sales</t>
        </is>
      </c>
      <c r="C263" s="9" t="inlineStr">
        <is>
          <t>L1 - Junior</t>
        </is>
      </c>
      <c r="D263" s="10" t="n">
        <v>60075</v>
      </c>
      <c r="E263" s="11" t="n">
        <v>28</v>
      </c>
      <c r="F263" s="12">
        <f>E263/100</f>
        <v/>
      </c>
      <c r="G263" s="9" t="inlineStr">
        <is>
          <t>No</t>
        </is>
      </c>
      <c r="H263" s="13">
        <f>VLOOKUP(C263,Assumptions!$A$10:$B$15,2,FALSE)</f>
        <v/>
      </c>
      <c r="I263" s="14">
        <f>D263*H263</f>
        <v/>
      </c>
      <c r="J263" s="12">
        <f>1-(1-F263)^(Assumptions!$B$4/12)</f>
        <v/>
      </c>
      <c r="K263" s="14">
        <f>J263*I263</f>
        <v/>
      </c>
      <c r="L263" s="14">
        <f>IF(G263="Yes",(1-(1-F263*(1-Assumptions!$B$6))^(Assumptions!$B$4/12))*I263,K263)</f>
        <v/>
      </c>
    </row>
    <row r="264">
      <c r="A264" s="9" t="inlineStr">
        <is>
          <t>DF-100029</t>
        </is>
      </c>
      <c r="B264" s="9" t="inlineStr">
        <is>
          <t>Support</t>
        </is>
      </c>
      <c r="C264" s="9" t="inlineStr">
        <is>
          <t>L2 - Mid</t>
        </is>
      </c>
      <c r="D264" s="10" t="n">
        <v>53397</v>
      </c>
      <c r="E264" s="11" t="n">
        <v>28</v>
      </c>
      <c r="F264" s="12">
        <f>E264/100</f>
        <v/>
      </c>
      <c r="G264" s="9" t="inlineStr">
        <is>
          <t>No</t>
        </is>
      </c>
      <c r="H264" s="13">
        <f>VLOOKUP(C264,Assumptions!$A$10:$B$15,2,FALSE)</f>
        <v/>
      </c>
      <c r="I264" s="14">
        <f>D264*H264</f>
        <v/>
      </c>
      <c r="J264" s="12">
        <f>1-(1-F264)^(Assumptions!$B$4/12)</f>
        <v/>
      </c>
      <c r="K264" s="14">
        <f>J264*I264</f>
        <v/>
      </c>
      <c r="L264" s="14">
        <f>IF(G264="Yes",(1-(1-F264*(1-Assumptions!$B$6))^(Assumptions!$B$4/12))*I264,K264)</f>
        <v/>
      </c>
    </row>
    <row r="265">
      <c r="A265" s="9" t="inlineStr">
        <is>
          <t>DF-100256</t>
        </is>
      </c>
      <c r="B265" s="9" t="inlineStr">
        <is>
          <t>Engineering</t>
        </is>
      </c>
      <c r="C265" s="9" t="inlineStr">
        <is>
          <t>L1 - Junior</t>
        </is>
      </c>
      <c r="D265" s="10" t="n">
        <v>68838</v>
      </c>
      <c r="E265" s="11" t="n">
        <v>28</v>
      </c>
      <c r="F265" s="12">
        <f>E265/100</f>
        <v/>
      </c>
      <c r="G265" s="9" t="inlineStr">
        <is>
          <t>No</t>
        </is>
      </c>
      <c r="H265" s="13">
        <f>VLOOKUP(C265,Assumptions!$A$10:$B$15,2,FALSE)</f>
        <v/>
      </c>
      <c r="I265" s="14">
        <f>D265*H265</f>
        <v/>
      </c>
      <c r="J265" s="12">
        <f>1-(1-F265)^(Assumptions!$B$4/12)</f>
        <v/>
      </c>
      <c r="K265" s="14">
        <f>J265*I265</f>
        <v/>
      </c>
      <c r="L265" s="14">
        <f>IF(G265="Yes",(1-(1-F265*(1-Assumptions!$B$6))^(Assumptions!$B$4/12))*I265,K265)</f>
        <v/>
      </c>
    </row>
    <row r="266">
      <c r="A266" s="9" t="inlineStr">
        <is>
          <t>DF-100452</t>
        </is>
      </c>
      <c r="B266" s="9" t="inlineStr">
        <is>
          <t>Sales</t>
        </is>
      </c>
      <c r="C266" s="9" t="inlineStr">
        <is>
          <t>L1 - Junior</t>
        </is>
      </c>
      <c r="D266" s="10" t="n">
        <v>51375</v>
      </c>
      <c r="E266" s="11" t="n">
        <v>27.9</v>
      </c>
      <c r="F266" s="12">
        <f>E266/100</f>
        <v/>
      </c>
      <c r="G266" s="9" t="inlineStr">
        <is>
          <t>No</t>
        </is>
      </c>
      <c r="H266" s="13">
        <f>VLOOKUP(C266,Assumptions!$A$10:$B$15,2,FALSE)</f>
        <v/>
      </c>
      <c r="I266" s="14">
        <f>D266*H266</f>
        <v/>
      </c>
      <c r="J266" s="12">
        <f>1-(1-F266)^(Assumptions!$B$4/12)</f>
        <v/>
      </c>
      <c r="K266" s="14">
        <f>J266*I266</f>
        <v/>
      </c>
      <c r="L266" s="14">
        <f>IF(G266="Yes",(1-(1-F266*(1-Assumptions!$B$6))^(Assumptions!$B$4/12))*I266,K266)</f>
        <v/>
      </c>
    </row>
    <row r="267">
      <c r="A267" s="9" t="inlineStr">
        <is>
          <t>DF-100517</t>
        </is>
      </c>
      <c r="B267" s="9" t="inlineStr">
        <is>
          <t>Finance</t>
        </is>
      </c>
      <c r="C267" s="9" t="inlineStr">
        <is>
          <t>L2 - Mid</t>
        </is>
      </c>
      <c r="D267" s="10" t="n">
        <v>73762</v>
      </c>
      <c r="E267" s="11" t="n">
        <v>27.8</v>
      </c>
      <c r="F267" s="12">
        <f>E267/100</f>
        <v/>
      </c>
      <c r="G267" s="9" t="inlineStr">
        <is>
          <t>No</t>
        </is>
      </c>
      <c r="H267" s="13">
        <f>VLOOKUP(C267,Assumptions!$A$10:$B$15,2,FALSE)</f>
        <v/>
      </c>
      <c r="I267" s="14">
        <f>D267*H267</f>
        <v/>
      </c>
      <c r="J267" s="12">
        <f>1-(1-F267)^(Assumptions!$B$4/12)</f>
        <v/>
      </c>
      <c r="K267" s="14">
        <f>J267*I267</f>
        <v/>
      </c>
      <c r="L267" s="14">
        <f>IF(G267="Yes",(1-(1-F267*(1-Assumptions!$B$6))^(Assumptions!$B$4/12))*I267,K267)</f>
        <v/>
      </c>
    </row>
    <row r="268">
      <c r="A268" s="9" t="inlineStr">
        <is>
          <t>DF-100212</t>
        </is>
      </c>
      <c r="B268" s="9" t="inlineStr">
        <is>
          <t>Product</t>
        </is>
      </c>
      <c r="C268" s="9" t="inlineStr">
        <is>
          <t>L1 - Junior</t>
        </is>
      </c>
      <c r="D268" s="10" t="n">
        <v>73668</v>
      </c>
      <c r="E268" s="11" t="n">
        <v>27.8</v>
      </c>
      <c r="F268" s="12">
        <f>E268/100</f>
        <v/>
      </c>
      <c r="G268" s="9" t="inlineStr">
        <is>
          <t>No</t>
        </is>
      </c>
      <c r="H268" s="13">
        <f>VLOOKUP(C268,Assumptions!$A$10:$B$15,2,FALSE)</f>
        <v/>
      </c>
      <c r="I268" s="14">
        <f>D268*H268</f>
        <v/>
      </c>
      <c r="J268" s="12">
        <f>1-(1-F268)^(Assumptions!$B$4/12)</f>
        <v/>
      </c>
      <c r="K268" s="14">
        <f>J268*I268</f>
        <v/>
      </c>
      <c r="L268" s="14">
        <f>IF(G268="Yes",(1-(1-F268*(1-Assumptions!$B$6))^(Assumptions!$B$4/12))*I268,K268)</f>
        <v/>
      </c>
    </row>
    <row r="269">
      <c r="A269" s="9" t="inlineStr">
        <is>
          <t>DF-100163</t>
        </is>
      </c>
      <c r="B269" s="9" t="inlineStr">
        <is>
          <t>Data &amp; Analytics</t>
        </is>
      </c>
      <c r="C269" s="9" t="inlineStr">
        <is>
          <t>L1 - Junior</t>
        </is>
      </c>
      <c r="D269" s="10" t="n">
        <v>57985</v>
      </c>
      <c r="E269" s="11" t="n">
        <v>27.7</v>
      </c>
      <c r="F269" s="12">
        <f>E269/100</f>
        <v/>
      </c>
      <c r="G269" s="9" t="inlineStr">
        <is>
          <t>No</t>
        </is>
      </c>
      <c r="H269" s="13">
        <f>VLOOKUP(C269,Assumptions!$A$10:$B$15,2,FALSE)</f>
        <v/>
      </c>
      <c r="I269" s="14">
        <f>D269*H269</f>
        <v/>
      </c>
      <c r="J269" s="12">
        <f>1-(1-F269)^(Assumptions!$B$4/12)</f>
        <v/>
      </c>
      <c r="K269" s="14">
        <f>J269*I269</f>
        <v/>
      </c>
      <c r="L269" s="14">
        <f>IF(G269="Yes",(1-(1-F269*(1-Assumptions!$B$6))^(Assumptions!$B$4/12))*I269,K269)</f>
        <v/>
      </c>
    </row>
    <row r="270">
      <c r="A270" s="9" t="inlineStr">
        <is>
          <t>DF-100049</t>
        </is>
      </c>
      <c r="B270" s="9" t="inlineStr">
        <is>
          <t>Sales</t>
        </is>
      </c>
      <c r="C270" s="9" t="inlineStr">
        <is>
          <t>L2 - Mid</t>
        </is>
      </c>
      <c r="D270" s="10" t="n">
        <v>61097</v>
      </c>
      <c r="E270" s="11" t="n">
        <v>27.7</v>
      </c>
      <c r="F270" s="12">
        <f>E270/100</f>
        <v/>
      </c>
      <c r="G270" s="9" t="inlineStr">
        <is>
          <t>No</t>
        </is>
      </c>
      <c r="H270" s="13">
        <f>VLOOKUP(C270,Assumptions!$A$10:$B$15,2,FALSE)</f>
        <v/>
      </c>
      <c r="I270" s="14">
        <f>D270*H270</f>
        <v/>
      </c>
      <c r="J270" s="12">
        <f>1-(1-F270)^(Assumptions!$B$4/12)</f>
        <v/>
      </c>
      <c r="K270" s="14">
        <f>J270*I270</f>
        <v/>
      </c>
      <c r="L270" s="14">
        <f>IF(G270="Yes",(1-(1-F270*(1-Assumptions!$B$6))^(Assumptions!$B$4/12))*I270,K270)</f>
        <v/>
      </c>
    </row>
    <row r="271">
      <c r="A271" s="9" t="inlineStr">
        <is>
          <t>DF-100091</t>
        </is>
      </c>
      <c r="B271" s="9" t="inlineStr">
        <is>
          <t>Marketing</t>
        </is>
      </c>
      <c r="C271" s="9" t="inlineStr">
        <is>
          <t>L2 - Mid</t>
        </is>
      </c>
      <c r="D271" s="10" t="n">
        <v>61862</v>
      </c>
      <c r="E271" s="11" t="n">
        <v>27.7</v>
      </c>
      <c r="F271" s="12">
        <f>E271/100</f>
        <v/>
      </c>
      <c r="G271" s="9" t="inlineStr">
        <is>
          <t>No</t>
        </is>
      </c>
      <c r="H271" s="13">
        <f>VLOOKUP(C271,Assumptions!$A$10:$B$15,2,FALSE)</f>
        <v/>
      </c>
      <c r="I271" s="14">
        <f>D271*H271</f>
        <v/>
      </c>
      <c r="J271" s="12">
        <f>1-(1-F271)^(Assumptions!$B$4/12)</f>
        <v/>
      </c>
      <c r="K271" s="14">
        <f>J271*I271</f>
        <v/>
      </c>
      <c r="L271" s="14">
        <f>IF(G271="Yes",(1-(1-F271*(1-Assumptions!$B$6))^(Assumptions!$B$4/12))*I271,K271)</f>
        <v/>
      </c>
    </row>
    <row r="272">
      <c r="A272" s="9" t="inlineStr">
        <is>
          <t>DF-100584</t>
        </is>
      </c>
      <c r="B272" s="9" t="inlineStr">
        <is>
          <t>Marketing</t>
        </is>
      </c>
      <c r="C272" s="9" t="inlineStr">
        <is>
          <t>L4 - Lead</t>
        </is>
      </c>
      <c r="D272" s="10" t="n">
        <v>111374</v>
      </c>
      <c r="E272" s="11" t="n">
        <v>27.5</v>
      </c>
      <c r="F272" s="12">
        <f>E272/100</f>
        <v/>
      </c>
      <c r="G272" s="9" t="inlineStr">
        <is>
          <t>No</t>
        </is>
      </c>
      <c r="H272" s="13">
        <f>VLOOKUP(C272,Assumptions!$A$10:$B$15,2,FALSE)</f>
        <v/>
      </c>
      <c r="I272" s="14">
        <f>D272*H272</f>
        <v/>
      </c>
      <c r="J272" s="12">
        <f>1-(1-F272)^(Assumptions!$B$4/12)</f>
        <v/>
      </c>
      <c r="K272" s="14">
        <f>J272*I272</f>
        <v/>
      </c>
      <c r="L272" s="14">
        <f>IF(G272="Yes",(1-(1-F272*(1-Assumptions!$B$6))^(Assumptions!$B$4/12))*I272,K272)</f>
        <v/>
      </c>
    </row>
    <row r="273">
      <c r="A273" s="9" t="inlineStr">
        <is>
          <t>DF-100138</t>
        </is>
      </c>
      <c r="B273" s="9" t="inlineStr">
        <is>
          <t>Sales</t>
        </is>
      </c>
      <c r="C273" s="9" t="inlineStr">
        <is>
          <t>L1 - Junior</t>
        </is>
      </c>
      <c r="D273" s="10" t="n">
        <v>67767</v>
      </c>
      <c r="E273" s="11" t="n">
        <v>27.4</v>
      </c>
      <c r="F273" s="12">
        <f>E273/100</f>
        <v/>
      </c>
      <c r="G273" s="9" t="inlineStr">
        <is>
          <t>No</t>
        </is>
      </c>
      <c r="H273" s="13">
        <f>VLOOKUP(C273,Assumptions!$A$10:$B$15,2,FALSE)</f>
        <v/>
      </c>
      <c r="I273" s="14">
        <f>D273*H273</f>
        <v/>
      </c>
      <c r="J273" s="12">
        <f>1-(1-F273)^(Assumptions!$B$4/12)</f>
        <v/>
      </c>
      <c r="K273" s="14">
        <f>J273*I273</f>
        <v/>
      </c>
      <c r="L273" s="14">
        <f>IF(G273="Yes",(1-(1-F273*(1-Assumptions!$B$6))^(Assumptions!$B$4/12))*I273,K273)</f>
        <v/>
      </c>
    </row>
    <row r="274">
      <c r="A274" s="9" t="inlineStr">
        <is>
          <t>DF-100606</t>
        </is>
      </c>
      <c r="B274" s="9" t="inlineStr">
        <is>
          <t>Support</t>
        </is>
      </c>
      <c r="C274" s="9" t="inlineStr">
        <is>
          <t>L1 - Junior</t>
        </is>
      </c>
      <c r="D274" s="10" t="n">
        <v>40940</v>
      </c>
      <c r="E274" s="11" t="n">
        <v>27.4</v>
      </c>
      <c r="F274" s="12">
        <f>E274/100</f>
        <v/>
      </c>
      <c r="G274" s="9" t="inlineStr">
        <is>
          <t>No</t>
        </is>
      </c>
      <c r="H274" s="13">
        <f>VLOOKUP(C274,Assumptions!$A$10:$B$15,2,FALSE)</f>
        <v/>
      </c>
      <c r="I274" s="14">
        <f>D274*H274</f>
        <v/>
      </c>
      <c r="J274" s="12">
        <f>1-(1-F274)^(Assumptions!$B$4/12)</f>
        <v/>
      </c>
      <c r="K274" s="14">
        <f>J274*I274</f>
        <v/>
      </c>
      <c r="L274" s="14">
        <f>IF(G274="Yes",(1-(1-F274*(1-Assumptions!$B$6))^(Assumptions!$B$4/12))*I274,K274)</f>
        <v/>
      </c>
    </row>
    <row r="275">
      <c r="A275" s="9" t="inlineStr">
        <is>
          <t>DF-100367</t>
        </is>
      </c>
      <c r="B275" s="9" t="inlineStr">
        <is>
          <t>Sales</t>
        </is>
      </c>
      <c r="C275" s="9" t="inlineStr">
        <is>
          <t>L4 - Lead</t>
        </is>
      </c>
      <c r="D275" s="10" t="n">
        <v>144485</v>
      </c>
      <c r="E275" s="11" t="n">
        <v>27.3</v>
      </c>
      <c r="F275" s="12">
        <f>E275/100</f>
        <v/>
      </c>
      <c r="G275" s="9" t="inlineStr">
        <is>
          <t>No</t>
        </is>
      </c>
      <c r="H275" s="13">
        <f>VLOOKUP(C275,Assumptions!$A$10:$B$15,2,FALSE)</f>
        <v/>
      </c>
      <c r="I275" s="14">
        <f>D275*H275</f>
        <v/>
      </c>
      <c r="J275" s="12">
        <f>1-(1-F275)^(Assumptions!$B$4/12)</f>
        <v/>
      </c>
      <c r="K275" s="14">
        <f>J275*I275</f>
        <v/>
      </c>
      <c r="L275" s="14">
        <f>IF(G275="Yes",(1-(1-F275*(1-Assumptions!$B$6))^(Assumptions!$B$4/12))*I275,K275)</f>
        <v/>
      </c>
    </row>
    <row r="276">
      <c r="A276" s="9" t="inlineStr">
        <is>
          <t>DF-100211</t>
        </is>
      </c>
      <c r="B276" s="9" t="inlineStr">
        <is>
          <t>Sales</t>
        </is>
      </c>
      <c r="C276" s="9" t="inlineStr">
        <is>
          <t>L2 - Mid</t>
        </is>
      </c>
      <c r="D276" s="10" t="n">
        <v>72740</v>
      </c>
      <c r="E276" s="11" t="n">
        <v>27.2</v>
      </c>
      <c r="F276" s="12">
        <f>E276/100</f>
        <v/>
      </c>
      <c r="G276" s="9" t="inlineStr">
        <is>
          <t>No</t>
        </is>
      </c>
      <c r="H276" s="13">
        <f>VLOOKUP(C276,Assumptions!$A$10:$B$15,2,FALSE)</f>
        <v/>
      </c>
      <c r="I276" s="14">
        <f>D276*H276</f>
        <v/>
      </c>
      <c r="J276" s="12">
        <f>1-(1-F276)^(Assumptions!$B$4/12)</f>
        <v/>
      </c>
      <c r="K276" s="14">
        <f>J276*I276</f>
        <v/>
      </c>
      <c r="L276" s="14">
        <f>IF(G276="Yes",(1-(1-F276*(1-Assumptions!$B$6))^(Assumptions!$B$4/12))*I276,K276)</f>
        <v/>
      </c>
    </row>
    <row r="277">
      <c r="A277" s="9" t="inlineStr">
        <is>
          <t>DF-100408</t>
        </is>
      </c>
      <c r="B277" s="9" t="inlineStr">
        <is>
          <t>Support</t>
        </is>
      </c>
      <c r="C277" s="9" t="inlineStr">
        <is>
          <t>L2 - Mid</t>
        </is>
      </c>
      <c r="D277" s="10" t="n">
        <v>52316</v>
      </c>
      <c r="E277" s="11" t="n">
        <v>27.2</v>
      </c>
      <c r="F277" s="12">
        <f>E277/100</f>
        <v/>
      </c>
      <c r="G277" s="9" t="inlineStr">
        <is>
          <t>No</t>
        </is>
      </c>
      <c r="H277" s="13">
        <f>VLOOKUP(C277,Assumptions!$A$10:$B$15,2,FALSE)</f>
        <v/>
      </c>
      <c r="I277" s="14">
        <f>D277*H277</f>
        <v/>
      </c>
      <c r="J277" s="12">
        <f>1-(1-F277)^(Assumptions!$B$4/12)</f>
        <v/>
      </c>
      <c r="K277" s="14">
        <f>J277*I277</f>
        <v/>
      </c>
      <c r="L277" s="14">
        <f>IF(G277="Yes",(1-(1-F277*(1-Assumptions!$B$6))^(Assumptions!$B$4/12))*I277,K277)</f>
        <v/>
      </c>
    </row>
    <row r="278">
      <c r="A278" s="9" t="inlineStr">
        <is>
          <t>DF-100587</t>
        </is>
      </c>
      <c r="B278" s="9" t="inlineStr">
        <is>
          <t>Support</t>
        </is>
      </c>
      <c r="C278" s="9" t="inlineStr">
        <is>
          <t>L3 - Senior</t>
        </is>
      </c>
      <c r="D278" s="10" t="n">
        <v>71943</v>
      </c>
      <c r="E278" s="11" t="n">
        <v>27.2</v>
      </c>
      <c r="F278" s="12">
        <f>E278/100</f>
        <v/>
      </c>
      <c r="G278" s="9" t="inlineStr">
        <is>
          <t>No</t>
        </is>
      </c>
      <c r="H278" s="13">
        <f>VLOOKUP(C278,Assumptions!$A$10:$B$15,2,FALSE)</f>
        <v/>
      </c>
      <c r="I278" s="14">
        <f>D278*H278</f>
        <v/>
      </c>
      <c r="J278" s="12">
        <f>1-(1-F278)^(Assumptions!$B$4/12)</f>
        <v/>
      </c>
      <c r="K278" s="14">
        <f>J278*I278</f>
        <v/>
      </c>
      <c r="L278" s="14">
        <f>IF(G278="Yes",(1-(1-F278*(1-Assumptions!$B$6))^(Assumptions!$B$4/12))*I278,K278)</f>
        <v/>
      </c>
    </row>
    <row r="279">
      <c r="A279" s="9" t="inlineStr">
        <is>
          <t>DF-100241</t>
        </is>
      </c>
      <c r="B279" s="9" t="inlineStr">
        <is>
          <t>Data &amp; Analytics</t>
        </is>
      </c>
      <c r="C279" s="9" t="inlineStr">
        <is>
          <t>L1 - Junior</t>
        </is>
      </c>
      <c r="D279" s="10" t="n">
        <v>45581</v>
      </c>
      <c r="E279" s="11" t="n">
        <v>27.2</v>
      </c>
      <c r="F279" s="12">
        <f>E279/100</f>
        <v/>
      </c>
      <c r="G279" s="9" t="inlineStr">
        <is>
          <t>No</t>
        </is>
      </c>
      <c r="H279" s="13">
        <f>VLOOKUP(C279,Assumptions!$A$10:$B$15,2,FALSE)</f>
        <v/>
      </c>
      <c r="I279" s="14">
        <f>D279*H279</f>
        <v/>
      </c>
      <c r="J279" s="12">
        <f>1-(1-F279)^(Assumptions!$B$4/12)</f>
        <v/>
      </c>
      <c r="K279" s="14">
        <f>J279*I279</f>
        <v/>
      </c>
      <c r="L279" s="14">
        <f>IF(G279="Yes",(1-(1-F279*(1-Assumptions!$B$6))^(Assumptions!$B$4/12))*I279,K279)</f>
        <v/>
      </c>
    </row>
    <row r="280">
      <c r="A280" s="9" t="inlineStr">
        <is>
          <t>DF-100628</t>
        </is>
      </c>
      <c r="B280" s="9" t="inlineStr">
        <is>
          <t>People/HR</t>
        </is>
      </c>
      <c r="C280" s="9" t="inlineStr">
        <is>
          <t>L1 - Junior</t>
        </is>
      </c>
      <c r="D280" s="10" t="n">
        <v>55469</v>
      </c>
      <c r="E280" s="11" t="n">
        <v>27</v>
      </c>
      <c r="F280" s="12">
        <f>E280/100</f>
        <v/>
      </c>
      <c r="G280" s="9" t="inlineStr">
        <is>
          <t>No</t>
        </is>
      </c>
      <c r="H280" s="13">
        <f>VLOOKUP(C280,Assumptions!$A$10:$B$15,2,FALSE)</f>
        <v/>
      </c>
      <c r="I280" s="14">
        <f>D280*H280</f>
        <v/>
      </c>
      <c r="J280" s="12">
        <f>1-(1-F280)^(Assumptions!$B$4/12)</f>
        <v/>
      </c>
      <c r="K280" s="14">
        <f>J280*I280</f>
        <v/>
      </c>
      <c r="L280" s="14">
        <f>IF(G280="Yes",(1-(1-F280*(1-Assumptions!$B$6))^(Assumptions!$B$4/12))*I280,K280)</f>
        <v/>
      </c>
    </row>
    <row r="281">
      <c r="A281" s="9" t="inlineStr">
        <is>
          <t>DF-100538</t>
        </is>
      </c>
      <c r="B281" s="9" t="inlineStr">
        <is>
          <t>People/HR</t>
        </is>
      </c>
      <c r="C281" s="9" t="inlineStr">
        <is>
          <t>L1 - Junior</t>
        </is>
      </c>
      <c r="D281" s="10" t="n">
        <v>42537</v>
      </c>
      <c r="E281" s="11" t="n">
        <v>27</v>
      </c>
      <c r="F281" s="12">
        <f>E281/100</f>
        <v/>
      </c>
      <c r="G281" s="9" t="inlineStr">
        <is>
          <t>No</t>
        </is>
      </c>
      <c r="H281" s="13">
        <f>VLOOKUP(C281,Assumptions!$A$10:$B$15,2,FALSE)</f>
        <v/>
      </c>
      <c r="I281" s="14">
        <f>D281*H281</f>
        <v/>
      </c>
      <c r="J281" s="12">
        <f>1-(1-F281)^(Assumptions!$B$4/12)</f>
        <v/>
      </c>
      <c r="K281" s="14">
        <f>J281*I281</f>
        <v/>
      </c>
      <c r="L281" s="14">
        <f>IF(G281="Yes",(1-(1-F281*(1-Assumptions!$B$6))^(Assumptions!$B$4/12))*I281,K281)</f>
        <v/>
      </c>
    </row>
    <row r="282">
      <c r="A282" s="9" t="inlineStr">
        <is>
          <t>DF-100312</t>
        </is>
      </c>
      <c r="B282" s="9" t="inlineStr">
        <is>
          <t>Sales</t>
        </is>
      </c>
      <c r="C282" s="9" t="inlineStr">
        <is>
          <t>L2 - Mid</t>
        </is>
      </c>
      <c r="D282" s="10" t="n">
        <v>84213</v>
      </c>
      <c r="E282" s="11" t="n">
        <v>27</v>
      </c>
      <c r="F282" s="12">
        <f>E282/100</f>
        <v/>
      </c>
      <c r="G282" s="9" t="inlineStr">
        <is>
          <t>No</t>
        </is>
      </c>
      <c r="H282" s="13">
        <f>VLOOKUP(C282,Assumptions!$A$10:$B$15,2,FALSE)</f>
        <v/>
      </c>
      <c r="I282" s="14">
        <f>D282*H282</f>
        <v/>
      </c>
      <c r="J282" s="12">
        <f>1-(1-F282)^(Assumptions!$B$4/12)</f>
        <v/>
      </c>
      <c r="K282" s="14">
        <f>J282*I282</f>
        <v/>
      </c>
      <c r="L282" s="14">
        <f>IF(G282="Yes",(1-(1-F282*(1-Assumptions!$B$6))^(Assumptions!$B$4/12))*I282,K282)</f>
        <v/>
      </c>
    </row>
    <row r="283">
      <c r="A283" s="9" t="inlineStr">
        <is>
          <t>DF-100410</t>
        </is>
      </c>
      <c r="B283" s="9" t="inlineStr">
        <is>
          <t>Customer Success</t>
        </is>
      </c>
      <c r="C283" s="9" t="inlineStr">
        <is>
          <t>L3 - Senior</t>
        </is>
      </c>
      <c r="D283" s="10" t="n">
        <v>102687</v>
      </c>
      <c r="E283" s="11" t="n">
        <v>26.8</v>
      </c>
      <c r="F283" s="12">
        <f>E283/100</f>
        <v/>
      </c>
      <c r="G283" s="9" t="inlineStr">
        <is>
          <t>No</t>
        </is>
      </c>
      <c r="H283" s="13">
        <f>VLOOKUP(C283,Assumptions!$A$10:$B$15,2,FALSE)</f>
        <v/>
      </c>
      <c r="I283" s="14">
        <f>D283*H283</f>
        <v/>
      </c>
      <c r="J283" s="12">
        <f>1-(1-F283)^(Assumptions!$B$4/12)</f>
        <v/>
      </c>
      <c r="K283" s="14">
        <f>J283*I283</f>
        <v/>
      </c>
      <c r="L283" s="14">
        <f>IF(G283="Yes",(1-(1-F283*(1-Assumptions!$B$6))^(Assumptions!$B$4/12))*I283,K283)</f>
        <v/>
      </c>
    </row>
    <row r="284">
      <c r="A284" s="9" t="inlineStr">
        <is>
          <t>DF-100360</t>
        </is>
      </c>
      <c r="B284" s="9" t="inlineStr">
        <is>
          <t>Support</t>
        </is>
      </c>
      <c r="C284" s="9" t="inlineStr">
        <is>
          <t>L2 - Mid</t>
        </is>
      </c>
      <c r="D284" s="10" t="n">
        <v>59604</v>
      </c>
      <c r="E284" s="11" t="n">
        <v>26.7</v>
      </c>
      <c r="F284" s="12">
        <f>E284/100</f>
        <v/>
      </c>
      <c r="G284" s="9" t="inlineStr">
        <is>
          <t>No</t>
        </is>
      </c>
      <c r="H284" s="13">
        <f>VLOOKUP(C284,Assumptions!$A$10:$B$15,2,FALSE)</f>
        <v/>
      </c>
      <c r="I284" s="14">
        <f>D284*H284</f>
        <v/>
      </c>
      <c r="J284" s="12">
        <f>1-(1-F284)^(Assumptions!$B$4/12)</f>
        <v/>
      </c>
      <c r="K284" s="14">
        <f>J284*I284</f>
        <v/>
      </c>
      <c r="L284" s="14">
        <f>IF(G284="Yes",(1-(1-F284*(1-Assumptions!$B$6))^(Assumptions!$B$4/12))*I284,K284)</f>
        <v/>
      </c>
    </row>
    <row r="285">
      <c r="A285" s="9" t="inlineStr">
        <is>
          <t>DF-100333</t>
        </is>
      </c>
      <c r="B285" s="9" t="inlineStr">
        <is>
          <t>Support</t>
        </is>
      </c>
      <c r="C285" s="9" t="inlineStr">
        <is>
          <t>L1 - Junior</t>
        </is>
      </c>
      <c r="D285" s="10" t="n">
        <v>36063</v>
      </c>
      <c r="E285" s="11" t="n">
        <v>26.5</v>
      </c>
      <c r="F285" s="12">
        <f>E285/100</f>
        <v/>
      </c>
      <c r="G285" s="9" t="inlineStr">
        <is>
          <t>No</t>
        </is>
      </c>
      <c r="H285" s="13">
        <f>VLOOKUP(C285,Assumptions!$A$10:$B$15,2,FALSE)</f>
        <v/>
      </c>
      <c r="I285" s="14">
        <f>D285*H285</f>
        <v/>
      </c>
      <c r="J285" s="12">
        <f>1-(1-F285)^(Assumptions!$B$4/12)</f>
        <v/>
      </c>
      <c r="K285" s="14">
        <f>J285*I285</f>
        <v/>
      </c>
      <c r="L285" s="14">
        <f>IF(G285="Yes",(1-(1-F285*(1-Assumptions!$B$6))^(Assumptions!$B$4/12))*I285,K285)</f>
        <v/>
      </c>
    </row>
    <row r="286">
      <c r="A286" s="9" t="inlineStr">
        <is>
          <t>DF-100395</t>
        </is>
      </c>
      <c r="B286" s="9" t="inlineStr">
        <is>
          <t>Product</t>
        </is>
      </c>
      <c r="C286" s="9" t="inlineStr">
        <is>
          <t>L1 - Junior</t>
        </is>
      </c>
      <c r="D286" s="10" t="n">
        <v>63104</v>
      </c>
      <c r="E286" s="11" t="n">
        <v>26.5</v>
      </c>
      <c r="F286" s="12">
        <f>E286/100</f>
        <v/>
      </c>
      <c r="G286" s="9" t="inlineStr">
        <is>
          <t>No</t>
        </is>
      </c>
      <c r="H286" s="13">
        <f>VLOOKUP(C286,Assumptions!$A$10:$B$15,2,FALSE)</f>
        <v/>
      </c>
      <c r="I286" s="14">
        <f>D286*H286</f>
        <v/>
      </c>
      <c r="J286" s="12">
        <f>1-(1-F286)^(Assumptions!$B$4/12)</f>
        <v/>
      </c>
      <c r="K286" s="14">
        <f>J286*I286</f>
        <v/>
      </c>
      <c r="L286" s="14">
        <f>IF(G286="Yes",(1-(1-F286*(1-Assumptions!$B$6))^(Assumptions!$B$4/12))*I286,K286)</f>
        <v/>
      </c>
    </row>
    <row r="287">
      <c r="A287" s="9" t="inlineStr">
        <is>
          <t>DF-100108</t>
        </is>
      </c>
      <c r="B287" s="9" t="inlineStr">
        <is>
          <t>Sales</t>
        </is>
      </c>
      <c r="C287" s="9" t="inlineStr">
        <is>
          <t>L2 - Mid</t>
        </is>
      </c>
      <c r="D287" s="10" t="n">
        <v>70502</v>
      </c>
      <c r="E287" s="11" t="n">
        <v>26.5</v>
      </c>
      <c r="F287" s="12">
        <f>E287/100</f>
        <v/>
      </c>
      <c r="G287" s="9" t="inlineStr">
        <is>
          <t>No</t>
        </is>
      </c>
      <c r="H287" s="13">
        <f>VLOOKUP(C287,Assumptions!$A$10:$B$15,2,FALSE)</f>
        <v/>
      </c>
      <c r="I287" s="14">
        <f>D287*H287</f>
        <v/>
      </c>
      <c r="J287" s="12">
        <f>1-(1-F287)^(Assumptions!$B$4/12)</f>
        <v/>
      </c>
      <c r="K287" s="14">
        <f>J287*I287</f>
        <v/>
      </c>
      <c r="L287" s="14">
        <f>IF(G287="Yes",(1-(1-F287*(1-Assumptions!$B$6))^(Assumptions!$B$4/12))*I287,K287)</f>
        <v/>
      </c>
    </row>
    <row r="288">
      <c r="A288" s="9" t="inlineStr">
        <is>
          <t>DF-100570</t>
        </is>
      </c>
      <c r="B288" s="9" t="inlineStr">
        <is>
          <t>People/HR</t>
        </is>
      </c>
      <c r="C288" s="9" t="inlineStr">
        <is>
          <t>L3 - Senior</t>
        </is>
      </c>
      <c r="D288" s="10" t="n">
        <v>94744</v>
      </c>
      <c r="E288" s="11" t="n">
        <v>26.4</v>
      </c>
      <c r="F288" s="12">
        <f>E288/100</f>
        <v/>
      </c>
      <c r="G288" s="9" t="inlineStr">
        <is>
          <t>No</t>
        </is>
      </c>
      <c r="H288" s="13">
        <f>VLOOKUP(C288,Assumptions!$A$10:$B$15,2,FALSE)</f>
        <v/>
      </c>
      <c r="I288" s="14">
        <f>D288*H288</f>
        <v/>
      </c>
      <c r="J288" s="12">
        <f>1-(1-F288)^(Assumptions!$B$4/12)</f>
        <v/>
      </c>
      <c r="K288" s="14">
        <f>J288*I288</f>
        <v/>
      </c>
      <c r="L288" s="14">
        <f>IF(G288="Yes",(1-(1-F288*(1-Assumptions!$B$6))^(Assumptions!$B$4/12))*I288,K288)</f>
        <v/>
      </c>
    </row>
    <row r="289">
      <c r="A289" s="9" t="inlineStr">
        <is>
          <t>DF-100297</t>
        </is>
      </c>
      <c r="B289" s="9" t="inlineStr">
        <is>
          <t>Sales</t>
        </is>
      </c>
      <c r="C289" s="9" t="inlineStr">
        <is>
          <t>L2 - Mid</t>
        </is>
      </c>
      <c r="D289" s="10" t="n">
        <v>60172</v>
      </c>
      <c r="E289" s="11" t="n">
        <v>26.3</v>
      </c>
      <c r="F289" s="12">
        <f>E289/100</f>
        <v/>
      </c>
      <c r="G289" s="9" t="inlineStr">
        <is>
          <t>No</t>
        </is>
      </c>
      <c r="H289" s="13">
        <f>VLOOKUP(C289,Assumptions!$A$10:$B$15,2,FALSE)</f>
        <v/>
      </c>
      <c r="I289" s="14">
        <f>D289*H289</f>
        <v/>
      </c>
      <c r="J289" s="12">
        <f>1-(1-F289)^(Assumptions!$B$4/12)</f>
        <v/>
      </c>
      <c r="K289" s="14">
        <f>J289*I289</f>
        <v/>
      </c>
      <c r="L289" s="14">
        <f>IF(G289="Yes",(1-(1-F289*(1-Assumptions!$B$6))^(Assumptions!$B$4/12))*I289,K289)</f>
        <v/>
      </c>
    </row>
    <row r="290">
      <c r="A290" s="9" t="inlineStr">
        <is>
          <t>DF-100064</t>
        </is>
      </c>
      <c r="B290" s="9" t="inlineStr">
        <is>
          <t>Engineering</t>
        </is>
      </c>
      <c r="C290" s="9" t="inlineStr">
        <is>
          <t>L2 - Mid</t>
        </is>
      </c>
      <c r="D290" s="10" t="n">
        <v>80608</v>
      </c>
      <c r="E290" s="11" t="n">
        <v>26.3</v>
      </c>
      <c r="F290" s="12">
        <f>E290/100</f>
        <v/>
      </c>
      <c r="G290" s="9" t="inlineStr">
        <is>
          <t>No</t>
        </is>
      </c>
      <c r="H290" s="13">
        <f>VLOOKUP(C290,Assumptions!$A$10:$B$15,2,FALSE)</f>
        <v/>
      </c>
      <c r="I290" s="14">
        <f>D290*H290</f>
        <v/>
      </c>
      <c r="J290" s="12">
        <f>1-(1-F290)^(Assumptions!$B$4/12)</f>
        <v/>
      </c>
      <c r="K290" s="14">
        <f>J290*I290</f>
        <v/>
      </c>
      <c r="L290" s="14">
        <f>IF(G290="Yes",(1-(1-F290*(1-Assumptions!$B$6))^(Assumptions!$B$4/12))*I290,K290)</f>
        <v/>
      </c>
    </row>
    <row r="291">
      <c r="A291" s="9" t="inlineStr">
        <is>
          <t>DF-100646</t>
        </is>
      </c>
      <c r="B291" s="9" t="inlineStr">
        <is>
          <t>Product</t>
        </is>
      </c>
      <c r="C291" s="9" t="inlineStr">
        <is>
          <t>L6 - Director</t>
        </is>
      </c>
      <c r="D291" s="10" t="n">
        <v>224471</v>
      </c>
      <c r="E291" s="11" t="n">
        <v>25.9</v>
      </c>
      <c r="F291" s="12">
        <f>E291/100</f>
        <v/>
      </c>
      <c r="G291" s="9" t="inlineStr">
        <is>
          <t>No</t>
        </is>
      </c>
      <c r="H291" s="13">
        <f>VLOOKUP(C291,Assumptions!$A$10:$B$15,2,FALSE)</f>
        <v/>
      </c>
      <c r="I291" s="14">
        <f>D291*H291</f>
        <v/>
      </c>
      <c r="J291" s="12">
        <f>1-(1-F291)^(Assumptions!$B$4/12)</f>
        <v/>
      </c>
      <c r="K291" s="14">
        <f>J291*I291</f>
        <v/>
      </c>
      <c r="L291" s="14">
        <f>IF(G291="Yes",(1-(1-F291*(1-Assumptions!$B$6))^(Assumptions!$B$4/12))*I291,K291)</f>
        <v/>
      </c>
    </row>
    <row r="292">
      <c r="A292" s="9" t="inlineStr">
        <is>
          <t>DF-100201</t>
        </is>
      </c>
      <c r="B292" s="9" t="inlineStr">
        <is>
          <t>Operations</t>
        </is>
      </c>
      <c r="C292" s="9" t="inlineStr">
        <is>
          <t>L2 - Mid</t>
        </is>
      </c>
      <c r="D292" s="10" t="n">
        <v>61375</v>
      </c>
      <c r="E292" s="11" t="n">
        <v>25.9</v>
      </c>
      <c r="F292" s="12">
        <f>E292/100</f>
        <v/>
      </c>
      <c r="G292" s="9" t="inlineStr">
        <is>
          <t>No</t>
        </is>
      </c>
      <c r="H292" s="13">
        <f>VLOOKUP(C292,Assumptions!$A$10:$B$15,2,FALSE)</f>
        <v/>
      </c>
      <c r="I292" s="14">
        <f>D292*H292</f>
        <v/>
      </c>
      <c r="J292" s="12">
        <f>1-(1-F292)^(Assumptions!$B$4/12)</f>
        <v/>
      </c>
      <c r="K292" s="14">
        <f>J292*I292</f>
        <v/>
      </c>
      <c r="L292" s="14">
        <f>IF(G292="Yes",(1-(1-F292*(1-Assumptions!$B$6))^(Assumptions!$B$4/12))*I292,K292)</f>
        <v/>
      </c>
    </row>
    <row r="293">
      <c r="A293" s="9" t="inlineStr">
        <is>
          <t>DF-100350</t>
        </is>
      </c>
      <c r="B293" s="9" t="inlineStr">
        <is>
          <t>Sales</t>
        </is>
      </c>
      <c r="C293" s="9" t="inlineStr">
        <is>
          <t>L5 - Manager</t>
        </is>
      </c>
      <c r="D293" s="10" t="n">
        <v>158835</v>
      </c>
      <c r="E293" s="11" t="n">
        <v>25.9</v>
      </c>
      <c r="F293" s="12">
        <f>E293/100</f>
        <v/>
      </c>
      <c r="G293" s="9" t="inlineStr">
        <is>
          <t>No</t>
        </is>
      </c>
      <c r="H293" s="13">
        <f>VLOOKUP(C293,Assumptions!$A$10:$B$15,2,FALSE)</f>
        <v/>
      </c>
      <c r="I293" s="14">
        <f>D293*H293</f>
        <v/>
      </c>
      <c r="J293" s="12">
        <f>1-(1-F293)^(Assumptions!$B$4/12)</f>
        <v/>
      </c>
      <c r="K293" s="14">
        <f>J293*I293</f>
        <v/>
      </c>
      <c r="L293" s="14">
        <f>IF(G293="Yes",(1-(1-F293*(1-Assumptions!$B$6))^(Assumptions!$B$4/12))*I293,K293)</f>
        <v/>
      </c>
    </row>
    <row r="294">
      <c r="A294" s="9" t="inlineStr">
        <is>
          <t>DF-100480</t>
        </is>
      </c>
      <c r="B294" s="9" t="inlineStr">
        <is>
          <t>Support</t>
        </is>
      </c>
      <c r="C294" s="9" t="inlineStr">
        <is>
          <t>L3 - Senior</t>
        </is>
      </c>
      <c r="D294" s="10" t="n">
        <v>84886</v>
      </c>
      <c r="E294" s="11" t="n">
        <v>25.9</v>
      </c>
      <c r="F294" s="12">
        <f>E294/100</f>
        <v/>
      </c>
      <c r="G294" s="9" t="inlineStr">
        <is>
          <t>No</t>
        </is>
      </c>
      <c r="H294" s="13">
        <f>VLOOKUP(C294,Assumptions!$A$10:$B$15,2,FALSE)</f>
        <v/>
      </c>
      <c r="I294" s="14">
        <f>D294*H294</f>
        <v/>
      </c>
      <c r="J294" s="12">
        <f>1-(1-F294)^(Assumptions!$B$4/12)</f>
        <v/>
      </c>
      <c r="K294" s="14">
        <f>J294*I294</f>
        <v/>
      </c>
      <c r="L294" s="14">
        <f>IF(G294="Yes",(1-(1-F294*(1-Assumptions!$B$6))^(Assumptions!$B$4/12))*I294,K294)</f>
        <v/>
      </c>
    </row>
    <row r="295">
      <c r="A295" s="9" t="inlineStr">
        <is>
          <t>DF-100099</t>
        </is>
      </c>
      <c r="B295" s="9" t="inlineStr">
        <is>
          <t>Product</t>
        </is>
      </c>
      <c r="C295" s="9" t="inlineStr">
        <is>
          <t>L3 - Senior</t>
        </is>
      </c>
      <c r="D295" s="10" t="n">
        <v>101477</v>
      </c>
      <c r="E295" s="11" t="n">
        <v>25.7</v>
      </c>
      <c r="F295" s="12">
        <f>E295/100</f>
        <v/>
      </c>
      <c r="G295" s="9" t="inlineStr">
        <is>
          <t>No</t>
        </is>
      </c>
      <c r="H295" s="13">
        <f>VLOOKUP(C295,Assumptions!$A$10:$B$15,2,FALSE)</f>
        <v/>
      </c>
      <c r="I295" s="14">
        <f>D295*H295</f>
        <v/>
      </c>
      <c r="J295" s="12">
        <f>1-(1-F295)^(Assumptions!$B$4/12)</f>
        <v/>
      </c>
      <c r="K295" s="14">
        <f>J295*I295</f>
        <v/>
      </c>
      <c r="L295" s="14">
        <f>IF(G295="Yes",(1-(1-F295*(1-Assumptions!$B$6))^(Assumptions!$B$4/12))*I295,K295)</f>
        <v/>
      </c>
    </row>
    <row r="296">
      <c r="A296" s="9" t="inlineStr">
        <is>
          <t>DF-100128</t>
        </is>
      </c>
      <c r="B296" s="9" t="inlineStr">
        <is>
          <t>Engineering</t>
        </is>
      </c>
      <c r="C296" s="9" t="inlineStr">
        <is>
          <t>L1 - Junior</t>
        </is>
      </c>
      <c r="D296" s="10" t="n">
        <v>66629</v>
      </c>
      <c r="E296" s="11" t="n">
        <v>25.7</v>
      </c>
      <c r="F296" s="12">
        <f>E296/100</f>
        <v/>
      </c>
      <c r="G296" s="9" t="inlineStr">
        <is>
          <t>No</t>
        </is>
      </c>
      <c r="H296" s="13">
        <f>VLOOKUP(C296,Assumptions!$A$10:$B$15,2,FALSE)</f>
        <v/>
      </c>
      <c r="I296" s="14">
        <f>D296*H296</f>
        <v/>
      </c>
      <c r="J296" s="12">
        <f>1-(1-F296)^(Assumptions!$B$4/12)</f>
        <v/>
      </c>
      <c r="K296" s="14">
        <f>J296*I296</f>
        <v/>
      </c>
      <c r="L296" s="14">
        <f>IF(G296="Yes",(1-(1-F296*(1-Assumptions!$B$6))^(Assumptions!$B$4/12))*I296,K296)</f>
        <v/>
      </c>
    </row>
    <row r="297">
      <c r="A297" s="9" t="inlineStr">
        <is>
          <t>DF-100591</t>
        </is>
      </c>
      <c r="B297" s="9" t="inlineStr">
        <is>
          <t>People/HR</t>
        </is>
      </c>
      <c r="C297" s="9" t="inlineStr">
        <is>
          <t>L1 - Junior</t>
        </is>
      </c>
      <c r="D297" s="10" t="n">
        <v>45343</v>
      </c>
      <c r="E297" s="11" t="n">
        <v>25.7</v>
      </c>
      <c r="F297" s="12">
        <f>E297/100</f>
        <v/>
      </c>
      <c r="G297" s="9" t="inlineStr">
        <is>
          <t>No</t>
        </is>
      </c>
      <c r="H297" s="13">
        <f>VLOOKUP(C297,Assumptions!$A$10:$B$15,2,FALSE)</f>
        <v/>
      </c>
      <c r="I297" s="14">
        <f>D297*H297</f>
        <v/>
      </c>
      <c r="J297" s="12">
        <f>1-(1-F297)^(Assumptions!$B$4/12)</f>
        <v/>
      </c>
      <c r="K297" s="14">
        <f>J297*I297</f>
        <v/>
      </c>
      <c r="L297" s="14">
        <f>IF(G297="Yes",(1-(1-F297*(1-Assumptions!$B$6))^(Assumptions!$B$4/12))*I297,K297)</f>
        <v/>
      </c>
    </row>
    <row r="298">
      <c r="A298" s="9" t="inlineStr">
        <is>
          <t>DF-100645</t>
        </is>
      </c>
      <c r="B298" s="9" t="inlineStr">
        <is>
          <t>Marketing</t>
        </is>
      </c>
      <c r="C298" s="9" t="inlineStr">
        <is>
          <t>L1 - Junior</t>
        </is>
      </c>
      <c r="D298" s="10" t="n">
        <v>55140</v>
      </c>
      <c r="E298" s="11" t="n">
        <v>25.7</v>
      </c>
      <c r="F298" s="12">
        <f>E298/100</f>
        <v/>
      </c>
      <c r="G298" s="9" t="inlineStr">
        <is>
          <t>No</t>
        </is>
      </c>
      <c r="H298" s="13">
        <f>VLOOKUP(C298,Assumptions!$A$10:$B$15,2,FALSE)</f>
        <v/>
      </c>
      <c r="I298" s="14">
        <f>D298*H298</f>
        <v/>
      </c>
      <c r="J298" s="12">
        <f>1-(1-F298)^(Assumptions!$B$4/12)</f>
        <v/>
      </c>
      <c r="K298" s="14">
        <f>J298*I298</f>
        <v/>
      </c>
      <c r="L298" s="14">
        <f>IF(G298="Yes",(1-(1-F298*(1-Assumptions!$B$6))^(Assumptions!$B$4/12))*I298,K298)</f>
        <v/>
      </c>
    </row>
    <row r="299">
      <c r="A299" s="9" t="inlineStr">
        <is>
          <t>DF-100660</t>
        </is>
      </c>
      <c r="B299" s="9" t="inlineStr">
        <is>
          <t>Engineering</t>
        </is>
      </c>
      <c r="C299" s="9" t="inlineStr">
        <is>
          <t>L3 - Senior</t>
        </is>
      </c>
      <c r="D299" s="10" t="n">
        <v>104622</v>
      </c>
      <c r="E299" s="11" t="n">
        <v>25.7</v>
      </c>
      <c r="F299" s="12">
        <f>E299/100</f>
        <v/>
      </c>
      <c r="G299" s="9" t="inlineStr">
        <is>
          <t>No</t>
        </is>
      </c>
      <c r="H299" s="13">
        <f>VLOOKUP(C299,Assumptions!$A$10:$B$15,2,FALSE)</f>
        <v/>
      </c>
      <c r="I299" s="14">
        <f>D299*H299</f>
        <v/>
      </c>
      <c r="J299" s="12">
        <f>1-(1-F299)^(Assumptions!$B$4/12)</f>
        <v/>
      </c>
      <c r="K299" s="14">
        <f>J299*I299</f>
        <v/>
      </c>
      <c r="L299" s="14">
        <f>IF(G299="Yes",(1-(1-F299*(1-Assumptions!$B$6))^(Assumptions!$B$4/12))*I299,K299)</f>
        <v/>
      </c>
    </row>
    <row r="300">
      <c r="A300" s="9" t="inlineStr">
        <is>
          <t>DF-100379</t>
        </is>
      </c>
      <c r="B300" s="9" t="inlineStr">
        <is>
          <t>Data &amp; Analytics</t>
        </is>
      </c>
      <c r="C300" s="9" t="inlineStr">
        <is>
          <t>L4 - Lead</t>
        </is>
      </c>
      <c r="D300" s="10" t="n">
        <v>148218</v>
      </c>
      <c r="E300" s="11" t="n">
        <v>25.5</v>
      </c>
      <c r="F300" s="12">
        <f>E300/100</f>
        <v/>
      </c>
      <c r="G300" s="9" t="inlineStr">
        <is>
          <t>No</t>
        </is>
      </c>
      <c r="H300" s="13">
        <f>VLOOKUP(C300,Assumptions!$A$10:$B$15,2,FALSE)</f>
        <v/>
      </c>
      <c r="I300" s="14">
        <f>D300*H300</f>
        <v/>
      </c>
      <c r="J300" s="12">
        <f>1-(1-F300)^(Assumptions!$B$4/12)</f>
        <v/>
      </c>
      <c r="K300" s="14">
        <f>J300*I300</f>
        <v/>
      </c>
      <c r="L300" s="14">
        <f>IF(G300="Yes",(1-(1-F300*(1-Assumptions!$B$6))^(Assumptions!$B$4/12))*I300,K300)</f>
        <v/>
      </c>
    </row>
    <row r="301">
      <c r="A301" s="9" t="inlineStr">
        <is>
          <t>DF-100222</t>
        </is>
      </c>
      <c r="B301" s="9" t="inlineStr">
        <is>
          <t>Finance</t>
        </is>
      </c>
      <c r="C301" s="9" t="inlineStr">
        <is>
          <t>L2 - Mid</t>
        </is>
      </c>
      <c r="D301" s="10" t="n">
        <v>73987</v>
      </c>
      <c r="E301" s="11" t="n">
        <v>25.3</v>
      </c>
      <c r="F301" s="12">
        <f>E301/100</f>
        <v/>
      </c>
      <c r="G301" s="9" t="inlineStr">
        <is>
          <t>No</t>
        </is>
      </c>
      <c r="H301" s="13">
        <f>VLOOKUP(C301,Assumptions!$A$10:$B$15,2,FALSE)</f>
        <v/>
      </c>
      <c r="I301" s="14">
        <f>D301*H301</f>
        <v/>
      </c>
      <c r="J301" s="12">
        <f>1-(1-F301)^(Assumptions!$B$4/12)</f>
        <v/>
      </c>
      <c r="K301" s="14">
        <f>J301*I301</f>
        <v/>
      </c>
      <c r="L301" s="14">
        <f>IF(G301="Yes",(1-(1-F301*(1-Assumptions!$B$6))^(Assumptions!$B$4/12))*I301,K301)</f>
        <v/>
      </c>
    </row>
    <row r="302">
      <c r="A302" s="9" t="inlineStr">
        <is>
          <t>DF-100613</t>
        </is>
      </c>
      <c r="B302" s="9" t="inlineStr">
        <is>
          <t>Data &amp; Analytics</t>
        </is>
      </c>
      <c r="C302" s="9" t="inlineStr">
        <is>
          <t>L5 - Manager</t>
        </is>
      </c>
      <c r="D302" s="10" t="n">
        <v>154890</v>
      </c>
      <c r="E302" s="11" t="n">
        <v>25.3</v>
      </c>
      <c r="F302" s="12">
        <f>E302/100</f>
        <v/>
      </c>
      <c r="G302" s="9" t="inlineStr">
        <is>
          <t>No</t>
        </is>
      </c>
      <c r="H302" s="13">
        <f>VLOOKUP(C302,Assumptions!$A$10:$B$15,2,FALSE)</f>
        <v/>
      </c>
      <c r="I302" s="14">
        <f>D302*H302</f>
        <v/>
      </c>
      <c r="J302" s="12">
        <f>1-(1-F302)^(Assumptions!$B$4/12)</f>
        <v/>
      </c>
      <c r="K302" s="14">
        <f>J302*I302</f>
        <v/>
      </c>
      <c r="L302" s="14">
        <f>IF(G302="Yes",(1-(1-F302*(1-Assumptions!$B$6))^(Assumptions!$B$4/12))*I302,K302)</f>
        <v/>
      </c>
    </row>
    <row r="303">
      <c r="A303" s="9" t="inlineStr">
        <is>
          <t>DF-100022</t>
        </is>
      </c>
      <c r="B303" s="9" t="inlineStr">
        <is>
          <t>Sales</t>
        </is>
      </c>
      <c r="C303" s="9" t="inlineStr">
        <is>
          <t>L3 - Senior</t>
        </is>
      </c>
      <c r="D303" s="10" t="n">
        <v>93583</v>
      </c>
      <c r="E303" s="11" t="n">
        <v>25.2</v>
      </c>
      <c r="F303" s="12">
        <f>E303/100</f>
        <v/>
      </c>
      <c r="G303" s="9" t="inlineStr">
        <is>
          <t>No</t>
        </is>
      </c>
      <c r="H303" s="13">
        <f>VLOOKUP(C303,Assumptions!$A$10:$B$15,2,FALSE)</f>
        <v/>
      </c>
      <c r="I303" s="14">
        <f>D303*H303</f>
        <v/>
      </c>
      <c r="J303" s="12">
        <f>1-(1-F303)^(Assumptions!$B$4/12)</f>
        <v/>
      </c>
      <c r="K303" s="14">
        <f>J303*I303</f>
        <v/>
      </c>
      <c r="L303" s="14">
        <f>IF(G303="Yes",(1-(1-F303*(1-Assumptions!$B$6))^(Assumptions!$B$4/12))*I303,K303)</f>
        <v/>
      </c>
    </row>
    <row r="304">
      <c r="A304" s="9" t="inlineStr">
        <is>
          <t>DF-100192</t>
        </is>
      </c>
      <c r="B304" s="9" t="inlineStr">
        <is>
          <t>Sales</t>
        </is>
      </c>
      <c r="C304" s="9" t="inlineStr">
        <is>
          <t>L1 - Junior</t>
        </is>
      </c>
      <c r="D304" s="10" t="n">
        <v>54512</v>
      </c>
      <c r="E304" s="11" t="n">
        <v>25</v>
      </c>
      <c r="F304" s="12">
        <f>E304/100</f>
        <v/>
      </c>
      <c r="G304" s="9" t="inlineStr">
        <is>
          <t>No</t>
        </is>
      </c>
      <c r="H304" s="13">
        <f>VLOOKUP(C304,Assumptions!$A$10:$B$15,2,FALSE)</f>
        <v/>
      </c>
      <c r="I304" s="14">
        <f>D304*H304</f>
        <v/>
      </c>
      <c r="J304" s="12">
        <f>1-(1-F304)^(Assumptions!$B$4/12)</f>
        <v/>
      </c>
      <c r="K304" s="14">
        <f>J304*I304</f>
        <v/>
      </c>
      <c r="L304" s="14">
        <f>IF(G304="Yes",(1-(1-F304*(1-Assumptions!$B$6))^(Assumptions!$B$4/12))*I304,K304)</f>
        <v/>
      </c>
    </row>
    <row r="305">
      <c r="A305" s="9" t="inlineStr">
        <is>
          <t>DF-100649</t>
        </is>
      </c>
      <c r="B305" s="9" t="inlineStr">
        <is>
          <t>Engineering</t>
        </is>
      </c>
      <c r="C305" s="9" t="inlineStr">
        <is>
          <t>L2 - Mid</t>
        </is>
      </c>
      <c r="D305" s="10" t="n">
        <v>87702</v>
      </c>
      <c r="E305" s="11" t="n">
        <v>24.8</v>
      </c>
      <c r="F305" s="12">
        <f>E305/100</f>
        <v/>
      </c>
      <c r="G305" s="9" t="inlineStr">
        <is>
          <t>No</t>
        </is>
      </c>
      <c r="H305" s="13">
        <f>VLOOKUP(C305,Assumptions!$A$10:$B$15,2,FALSE)</f>
        <v/>
      </c>
      <c r="I305" s="14">
        <f>D305*H305</f>
        <v/>
      </c>
      <c r="J305" s="12">
        <f>1-(1-F305)^(Assumptions!$B$4/12)</f>
        <v/>
      </c>
      <c r="K305" s="14">
        <f>J305*I305</f>
        <v/>
      </c>
      <c r="L305" s="14">
        <f>IF(G305="Yes",(1-(1-F305*(1-Assumptions!$B$6))^(Assumptions!$B$4/12))*I305,K305)</f>
        <v/>
      </c>
    </row>
    <row r="306">
      <c r="A306" s="9" t="inlineStr">
        <is>
          <t>DF-100215</t>
        </is>
      </c>
      <c r="B306" s="9" t="inlineStr">
        <is>
          <t>Engineering</t>
        </is>
      </c>
      <c r="C306" s="9" t="inlineStr">
        <is>
          <t>L1 - Junior</t>
        </is>
      </c>
      <c r="D306" s="10" t="n">
        <v>62355</v>
      </c>
      <c r="E306" s="11" t="n">
        <v>24.6</v>
      </c>
      <c r="F306" s="12">
        <f>E306/100</f>
        <v/>
      </c>
      <c r="G306" s="9" t="inlineStr">
        <is>
          <t>No</t>
        </is>
      </c>
      <c r="H306" s="13">
        <f>VLOOKUP(C306,Assumptions!$A$10:$B$15,2,FALSE)</f>
        <v/>
      </c>
      <c r="I306" s="14">
        <f>D306*H306</f>
        <v/>
      </c>
      <c r="J306" s="12">
        <f>1-(1-F306)^(Assumptions!$B$4/12)</f>
        <v/>
      </c>
      <c r="K306" s="14">
        <f>J306*I306</f>
        <v/>
      </c>
      <c r="L306" s="14">
        <f>IF(G306="Yes",(1-(1-F306*(1-Assumptions!$B$6))^(Assumptions!$B$4/12))*I306,K306)</f>
        <v/>
      </c>
    </row>
    <row r="307">
      <c r="A307" s="9" t="inlineStr">
        <is>
          <t>DF-100218</t>
        </is>
      </c>
      <c r="B307" s="9" t="inlineStr">
        <is>
          <t>Support</t>
        </is>
      </c>
      <c r="C307" s="9" t="inlineStr">
        <is>
          <t>L3 - Senior</t>
        </is>
      </c>
      <c r="D307" s="10" t="n">
        <v>70862</v>
      </c>
      <c r="E307" s="11" t="n">
        <v>24.6</v>
      </c>
      <c r="F307" s="12">
        <f>E307/100</f>
        <v/>
      </c>
      <c r="G307" s="9" t="inlineStr">
        <is>
          <t>No</t>
        </is>
      </c>
      <c r="H307" s="13">
        <f>VLOOKUP(C307,Assumptions!$A$10:$B$15,2,FALSE)</f>
        <v/>
      </c>
      <c r="I307" s="14">
        <f>D307*H307</f>
        <v/>
      </c>
      <c r="J307" s="12">
        <f>1-(1-F307)^(Assumptions!$B$4/12)</f>
        <v/>
      </c>
      <c r="K307" s="14">
        <f>J307*I307</f>
        <v/>
      </c>
      <c r="L307" s="14">
        <f>IF(G307="Yes",(1-(1-F307*(1-Assumptions!$B$6))^(Assumptions!$B$4/12))*I307,K307)</f>
        <v/>
      </c>
    </row>
    <row r="308">
      <c r="A308" s="9" t="inlineStr">
        <is>
          <t>DF-100164</t>
        </is>
      </c>
      <c r="B308" s="9" t="inlineStr">
        <is>
          <t>Support</t>
        </is>
      </c>
      <c r="C308" s="9" t="inlineStr">
        <is>
          <t>L2 - Mid</t>
        </is>
      </c>
      <c r="D308" s="10" t="n">
        <v>50741</v>
      </c>
      <c r="E308" s="11" t="n">
        <v>24.5</v>
      </c>
      <c r="F308" s="12">
        <f>E308/100</f>
        <v/>
      </c>
      <c r="G308" s="9" t="inlineStr">
        <is>
          <t>No</t>
        </is>
      </c>
      <c r="H308" s="13">
        <f>VLOOKUP(C308,Assumptions!$A$10:$B$15,2,FALSE)</f>
        <v/>
      </c>
      <c r="I308" s="14">
        <f>D308*H308</f>
        <v/>
      </c>
      <c r="J308" s="12">
        <f>1-(1-F308)^(Assumptions!$B$4/12)</f>
        <v/>
      </c>
      <c r="K308" s="14">
        <f>J308*I308</f>
        <v/>
      </c>
      <c r="L308" s="14">
        <f>IF(G308="Yes",(1-(1-F308*(1-Assumptions!$B$6))^(Assumptions!$B$4/12))*I308,K308)</f>
        <v/>
      </c>
    </row>
    <row r="309">
      <c r="A309" s="9" t="inlineStr">
        <is>
          <t>DF-100482</t>
        </is>
      </c>
      <c r="B309" s="9" t="inlineStr">
        <is>
          <t>Sales</t>
        </is>
      </c>
      <c r="C309" s="9" t="inlineStr">
        <is>
          <t>L2 - Mid</t>
        </is>
      </c>
      <c r="D309" s="10" t="n">
        <v>65819</v>
      </c>
      <c r="E309" s="11" t="n">
        <v>24.5</v>
      </c>
      <c r="F309" s="12">
        <f>E309/100</f>
        <v/>
      </c>
      <c r="G309" s="9" t="inlineStr">
        <is>
          <t>No</t>
        </is>
      </c>
      <c r="H309" s="13">
        <f>VLOOKUP(C309,Assumptions!$A$10:$B$15,2,FALSE)</f>
        <v/>
      </c>
      <c r="I309" s="14">
        <f>D309*H309</f>
        <v/>
      </c>
      <c r="J309" s="12">
        <f>1-(1-F309)^(Assumptions!$B$4/12)</f>
        <v/>
      </c>
      <c r="K309" s="14">
        <f>J309*I309</f>
        <v/>
      </c>
      <c r="L309" s="14">
        <f>IF(G309="Yes",(1-(1-F309*(1-Assumptions!$B$6))^(Assumptions!$B$4/12))*I309,K309)</f>
        <v/>
      </c>
    </row>
    <row r="310">
      <c r="A310" s="9" t="inlineStr">
        <is>
          <t>DF-100005</t>
        </is>
      </c>
      <c r="B310" s="9" t="inlineStr">
        <is>
          <t>Support</t>
        </is>
      </c>
      <c r="C310" s="9" t="inlineStr">
        <is>
          <t>L1 - Junior</t>
        </is>
      </c>
      <c r="D310" s="10" t="n">
        <v>43489</v>
      </c>
      <c r="E310" s="11" t="n">
        <v>24.3</v>
      </c>
      <c r="F310" s="12">
        <f>E310/100</f>
        <v/>
      </c>
      <c r="G310" s="9" t="inlineStr">
        <is>
          <t>No</t>
        </is>
      </c>
      <c r="H310" s="13">
        <f>VLOOKUP(C310,Assumptions!$A$10:$B$15,2,FALSE)</f>
        <v/>
      </c>
      <c r="I310" s="14">
        <f>D310*H310</f>
        <v/>
      </c>
      <c r="J310" s="12">
        <f>1-(1-F310)^(Assumptions!$B$4/12)</f>
        <v/>
      </c>
      <c r="K310" s="14">
        <f>J310*I310</f>
        <v/>
      </c>
      <c r="L310" s="14">
        <f>IF(G310="Yes",(1-(1-F310*(1-Assumptions!$B$6))^(Assumptions!$B$4/12))*I310,K310)</f>
        <v/>
      </c>
    </row>
    <row r="311">
      <c r="A311" s="9" t="inlineStr">
        <is>
          <t>DF-100421</t>
        </is>
      </c>
      <c r="B311" s="9" t="inlineStr">
        <is>
          <t>Sales</t>
        </is>
      </c>
      <c r="C311" s="9" t="inlineStr">
        <is>
          <t>L3 - Senior</t>
        </is>
      </c>
      <c r="D311" s="10" t="n">
        <v>100086</v>
      </c>
      <c r="E311" s="11" t="n">
        <v>24.3</v>
      </c>
      <c r="F311" s="12">
        <f>E311/100</f>
        <v/>
      </c>
      <c r="G311" s="9" t="inlineStr">
        <is>
          <t>No</t>
        </is>
      </c>
      <c r="H311" s="13">
        <f>VLOOKUP(C311,Assumptions!$A$10:$B$15,2,FALSE)</f>
        <v/>
      </c>
      <c r="I311" s="14">
        <f>D311*H311</f>
        <v/>
      </c>
      <c r="J311" s="12">
        <f>1-(1-F311)^(Assumptions!$B$4/12)</f>
        <v/>
      </c>
      <c r="K311" s="14">
        <f>J311*I311</f>
        <v/>
      </c>
      <c r="L311" s="14">
        <f>IF(G311="Yes",(1-(1-F311*(1-Assumptions!$B$6))^(Assumptions!$B$4/12))*I311,K311)</f>
        <v/>
      </c>
    </row>
    <row r="312">
      <c r="A312" s="9" t="inlineStr">
        <is>
          <t>DF-100196</t>
        </is>
      </c>
      <c r="B312" s="9" t="inlineStr">
        <is>
          <t>People/HR</t>
        </is>
      </c>
      <c r="C312" s="9" t="inlineStr">
        <is>
          <t>L1 - Junior</t>
        </is>
      </c>
      <c r="D312" s="10" t="n">
        <v>46412</v>
      </c>
      <c r="E312" s="11" t="n">
        <v>24.2</v>
      </c>
      <c r="F312" s="12">
        <f>E312/100</f>
        <v/>
      </c>
      <c r="G312" s="9" t="inlineStr">
        <is>
          <t>No</t>
        </is>
      </c>
      <c r="H312" s="13">
        <f>VLOOKUP(C312,Assumptions!$A$10:$B$15,2,FALSE)</f>
        <v/>
      </c>
      <c r="I312" s="14">
        <f>D312*H312</f>
        <v/>
      </c>
      <c r="J312" s="12">
        <f>1-(1-F312)^(Assumptions!$B$4/12)</f>
        <v/>
      </c>
      <c r="K312" s="14">
        <f>J312*I312</f>
        <v/>
      </c>
      <c r="L312" s="14">
        <f>IF(G312="Yes",(1-(1-F312*(1-Assumptions!$B$6))^(Assumptions!$B$4/12))*I312,K312)</f>
        <v/>
      </c>
    </row>
    <row r="313">
      <c r="A313" s="9" t="inlineStr">
        <is>
          <t>DF-100200</t>
        </is>
      </c>
      <c r="B313" s="9" t="inlineStr">
        <is>
          <t>Customer Success</t>
        </is>
      </c>
      <c r="C313" s="9" t="inlineStr">
        <is>
          <t>L3 - Senior</t>
        </is>
      </c>
      <c r="D313" s="10" t="n">
        <v>93830</v>
      </c>
      <c r="E313" s="11" t="n">
        <v>24.1</v>
      </c>
      <c r="F313" s="12">
        <f>E313/100</f>
        <v/>
      </c>
      <c r="G313" s="9" t="inlineStr">
        <is>
          <t>No</t>
        </is>
      </c>
      <c r="H313" s="13">
        <f>VLOOKUP(C313,Assumptions!$A$10:$B$15,2,FALSE)</f>
        <v/>
      </c>
      <c r="I313" s="14">
        <f>D313*H313</f>
        <v/>
      </c>
      <c r="J313" s="12">
        <f>1-(1-F313)^(Assumptions!$B$4/12)</f>
        <v/>
      </c>
      <c r="K313" s="14">
        <f>J313*I313</f>
        <v/>
      </c>
      <c r="L313" s="14">
        <f>IF(G313="Yes",(1-(1-F313*(1-Assumptions!$B$6))^(Assumptions!$B$4/12))*I313,K313)</f>
        <v/>
      </c>
    </row>
    <row r="314">
      <c r="A314" s="9" t="inlineStr">
        <is>
          <t>DF-100067</t>
        </is>
      </c>
      <c r="B314" s="9" t="inlineStr">
        <is>
          <t>Marketing</t>
        </is>
      </c>
      <c r="C314" s="9" t="inlineStr">
        <is>
          <t>L1 - Junior</t>
        </is>
      </c>
      <c r="D314" s="10" t="n">
        <v>49038</v>
      </c>
      <c r="E314" s="11" t="n">
        <v>24</v>
      </c>
      <c r="F314" s="12">
        <f>E314/100</f>
        <v/>
      </c>
      <c r="G314" s="9" t="inlineStr">
        <is>
          <t>No</t>
        </is>
      </c>
      <c r="H314" s="13">
        <f>VLOOKUP(C314,Assumptions!$A$10:$B$15,2,FALSE)</f>
        <v/>
      </c>
      <c r="I314" s="14">
        <f>D314*H314</f>
        <v/>
      </c>
      <c r="J314" s="12">
        <f>1-(1-F314)^(Assumptions!$B$4/12)</f>
        <v/>
      </c>
      <c r="K314" s="14">
        <f>J314*I314</f>
        <v/>
      </c>
      <c r="L314" s="14">
        <f>IF(G314="Yes",(1-(1-F314*(1-Assumptions!$B$6))^(Assumptions!$B$4/12))*I314,K314)</f>
        <v/>
      </c>
    </row>
    <row r="315">
      <c r="A315" s="9" t="inlineStr">
        <is>
          <t>DF-100659</t>
        </is>
      </c>
      <c r="B315" s="9" t="inlineStr">
        <is>
          <t>Finance</t>
        </is>
      </c>
      <c r="C315" s="9" t="inlineStr">
        <is>
          <t>L2 - Mid</t>
        </is>
      </c>
      <c r="D315" s="10" t="n">
        <v>73598</v>
      </c>
      <c r="E315" s="11" t="n">
        <v>24</v>
      </c>
      <c r="F315" s="12">
        <f>E315/100</f>
        <v/>
      </c>
      <c r="G315" s="9" t="inlineStr">
        <is>
          <t>No</t>
        </is>
      </c>
      <c r="H315" s="13">
        <f>VLOOKUP(C315,Assumptions!$A$10:$B$15,2,FALSE)</f>
        <v/>
      </c>
      <c r="I315" s="14">
        <f>D315*H315</f>
        <v/>
      </c>
      <c r="J315" s="12">
        <f>1-(1-F315)^(Assumptions!$B$4/12)</f>
        <v/>
      </c>
      <c r="K315" s="14">
        <f>J315*I315</f>
        <v/>
      </c>
      <c r="L315" s="14">
        <f>IF(G315="Yes",(1-(1-F315*(1-Assumptions!$B$6))^(Assumptions!$B$4/12))*I315,K315)</f>
        <v/>
      </c>
    </row>
    <row r="316">
      <c r="A316" s="9" t="inlineStr">
        <is>
          <t>DF-100142</t>
        </is>
      </c>
      <c r="B316" s="9" t="inlineStr">
        <is>
          <t>Product</t>
        </is>
      </c>
      <c r="C316" s="9" t="inlineStr">
        <is>
          <t>L3 - Senior</t>
        </is>
      </c>
      <c r="D316" s="10" t="n">
        <v>111532</v>
      </c>
      <c r="E316" s="11" t="n">
        <v>23.8</v>
      </c>
      <c r="F316" s="12">
        <f>E316/100</f>
        <v/>
      </c>
      <c r="G316" s="9" t="inlineStr">
        <is>
          <t>No</t>
        </is>
      </c>
      <c r="H316" s="13">
        <f>VLOOKUP(C316,Assumptions!$A$10:$B$15,2,FALSE)</f>
        <v/>
      </c>
      <c r="I316" s="14">
        <f>D316*H316</f>
        <v/>
      </c>
      <c r="J316" s="12">
        <f>1-(1-F316)^(Assumptions!$B$4/12)</f>
        <v/>
      </c>
      <c r="K316" s="14">
        <f>J316*I316</f>
        <v/>
      </c>
      <c r="L316" s="14">
        <f>IF(G316="Yes",(1-(1-F316*(1-Assumptions!$B$6))^(Assumptions!$B$4/12))*I316,K316)</f>
        <v/>
      </c>
    </row>
    <row r="317">
      <c r="A317" s="9" t="inlineStr">
        <is>
          <t>DF-100189</t>
        </is>
      </c>
      <c r="B317" s="9" t="inlineStr">
        <is>
          <t>Sales</t>
        </is>
      </c>
      <c r="C317" s="9" t="inlineStr">
        <is>
          <t>L2 - Mid</t>
        </is>
      </c>
      <c r="D317" s="10" t="n">
        <v>76047</v>
      </c>
      <c r="E317" s="11" t="n">
        <v>23.8</v>
      </c>
      <c r="F317" s="12">
        <f>E317/100</f>
        <v/>
      </c>
      <c r="G317" s="9" t="inlineStr">
        <is>
          <t>No</t>
        </is>
      </c>
      <c r="H317" s="13">
        <f>VLOOKUP(C317,Assumptions!$A$10:$B$15,2,FALSE)</f>
        <v/>
      </c>
      <c r="I317" s="14">
        <f>D317*H317</f>
        <v/>
      </c>
      <c r="J317" s="12">
        <f>1-(1-F317)^(Assumptions!$B$4/12)</f>
        <v/>
      </c>
      <c r="K317" s="14">
        <f>J317*I317</f>
        <v/>
      </c>
      <c r="L317" s="14">
        <f>IF(G317="Yes",(1-(1-F317*(1-Assumptions!$B$6))^(Assumptions!$B$4/12))*I317,K317)</f>
        <v/>
      </c>
    </row>
    <row r="318">
      <c r="A318" s="9" t="inlineStr">
        <is>
          <t>DF-100505</t>
        </is>
      </c>
      <c r="B318" s="9" t="inlineStr">
        <is>
          <t>Data &amp; Analytics</t>
        </is>
      </c>
      <c r="C318" s="9" t="inlineStr">
        <is>
          <t>L1 - Junior</t>
        </is>
      </c>
      <c r="D318" s="10" t="n">
        <v>46470</v>
      </c>
      <c r="E318" s="11" t="n">
        <v>23.7</v>
      </c>
      <c r="F318" s="12">
        <f>E318/100</f>
        <v/>
      </c>
      <c r="G318" s="9" t="inlineStr">
        <is>
          <t>No</t>
        </is>
      </c>
      <c r="H318" s="13">
        <f>VLOOKUP(C318,Assumptions!$A$10:$B$15,2,FALSE)</f>
        <v/>
      </c>
      <c r="I318" s="14">
        <f>D318*H318</f>
        <v/>
      </c>
      <c r="J318" s="12">
        <f>1-(1-F318)^(Assumptions!$B$4/12)</f>
        <v/>
      </c>
      <c r="K318" s="14">
        <f>J318*I318</f>
        <v/>
      </c>
      <c r="L318" s="14">
        <f>IF(G318="Yes",(1-(1-F318*(1-Assumptions!$B$6))^(Assumptions!$B$4/12))*I318,K318)</f>
        <v/>
      </c>
    </row>
    <row r="319">
      <c r="A319" s="9" t="inlineStr">
        <is>
          <t>DF-100179</t>
        </is>
      </c>
      <c r="B319" s="9" t="inlineStr">
        <is>
          <t>Engineering</t>
        </is>
      </c>
      <c r="C319" s="9" t="inlineStr">
        <is>
          <t>L2 - Mid</t>
        </is>
      </c>
      <c r="D319" s="10" t="n">
        <v>92775</v>
      </c>
      <c r="E319" s="11" t="n">
        <v>23.7</v>
      </c>
      <c r="F319" s="12">
        <f>E319/100</f>
        <v/>
      </c>
      <c r="G319" s="9" t="inlineStr">
        <is>
          <t>No</t>
        </is>
      </c>
      <c r="H319" s="13">
        <f>VLOOKUP(C319,Assumptions!$A$10:$B$15,2,FALSE)</f>
        <v/>
      </c>
      <c r="I319" s="14">
        <f>D319*H319</f>
        <v/>
      </c>
      <c r="J319" s="12">
        <f>1-(1-F319)^(Assumptions!$B$4/12)</f>
        <v/>
      </c>
      <c r="K319" s="14">
        <f>J319*I319</f>
        <v/>
      </c>
      <c r="L319" s="14">
        <f>IF(G319="Yes",(1-(1-F319*(1-Assumptions!$B$6))^(Assumptions!$B$4/12))*I319,K319)</f>
        <v/>
      </c>
    </row>
    <row r="320">
      <c r="A320" s="9" t="inlineStr">
        <is>
          <t>DF-100253</t>
        </is>
      </c>
      <c r="B320" s="9" t="inlineStr">
        <is>
          <t>Data &amp; Analytics</t>
        </is>
      </c>
      <c r="C320" s="9" t="inlineStr">
        <is>
          <t>L3 - Senior</t>
        </is>
      </c>
      <c r="D320" s="10" t="n">
        <v>105636</v>
      </c>
      <c r="E320" s="11" t="n">
        <v>23.7</v>
      </c>
      <c r="F320" s="12">
        <f>E320/100</f>
        <v/>
      </c>
      <c r="G320" s="9" t="inlineStr">
        <is>
          <t>No</t>
        </is>
      </c>
      <c r="H320" s="13">
        <f>VLOOKUP(C320,Assumptions!$A$10:$B$15,2,FALSE)</f>
        <v/>
      </c>
      <c r="I320" s="14">
        <f>D320*H320</f>
        <v/>
      </c>
      <c r="J320" s="12">
        <f>1-(1-F320)^(Assumptions!$B$4/12)</f>
        <v/>
      </c>
      <c r="K320" s="14">
        <f>J320*I320</f>
        <v/>
      </c>
      <c r="L320" s="14">
        <f>IF(G320="Yes",(1-(1-F320*(1-Assumptions!$B$6))^(Assumptions!$B$4/12))*I320,K320)</f>
        <v/>
      </c>
    </row>
    <row r="321">
      <c r="A321" s="9" t="inlineStr">
        <is>
          <t>DF-100120</t>
        </is>
      </c>
      <c r="B321" s="9" t="inlineStr">
        <is>
          <t>Finance</t>
        </is>
      </c>
      <c r="C321" s="9" t="inlineStr">
        <is>
          <t>L4 - Lead</t>
        </is>
      </c>
      <c r="D321" s="10" t="n">
        <v>134231</v>
      </c>
      <c r="E321" s="11" t="n">
        <v>23.6</v>
      </c>
      <c r="F321" s="12">
        <f>E321/100</f>
        <v/>
      </c>
      <c r="G321" s="9" t="inlineStr">
        <is>
          <t>No</t>
        </is>
      </c>
      <c r="H321" s="13">
        <f>VLOOKUP(C321,Assumptions!$A$10:$B$15,2,FALSE)</f>
        <v/>
      </c>
      <c r="I321" s="14">
        <f>D321*H321</f>
        <v/>
      </c>
      <c r="J321" s="12">
        <f>1-(1-F321)^(Assumptions!$B$4/12)</f>
        <v/>
      </c>
      <c r="K321" s="14">
        <f>J321*I321</f>
        <v/>
      </c>
      <c r="L321" s="14">
        <f>IF(G321="Yes",(1-(1-F321*(1-Assumptions!$B$6))^(Assumptions!$B$4/12))*I321,K321)</f>
        <v/>
      </c>
    </row>
    <row r="322">
      <c r="A322" s="9" t="inlineStr">
        <is>
          <t>DF-100438</t>
        </is>
      </c>
      <c r="B322" s="9" t="inlineStr">
        <is>
          <t>Product</t>
        </is>
      </c>
      <c r="C322" s="9" t="inlineStr">
        <is>
          <t>L3 - Senior</t>
        </is>
      </c>
      <c r="D322" s="10" t="n">
        <v>111666</v>
      </c>
      <c r="E322" s="11" t="n">
        <v>23.6</v>
      </c>
      <c r="F322" s="12">
        <f>E322/100</f>
        <v/>
      </c>
      <c r="G322" s="9" t="inlineStr">
        <is>
          <t>No</t>
        </is>
      </c>
      <c r="H322" s="13">
        <f>VLOOKUP(C322,Assumptions!$A$10:$B$15,2,FALSE)</f>
        <v/>
      </c>
      <c r="I322" s="14">
        <f>D322*H322</f>
        <v/>
      </c>
      <c r="J322" s="12">
        <f>1-(1-F322)^(Assumptions!$B$4/12)</f>
        <v/>
      </c>
      <c r="K322" s="14">
        <f>J322*I322</f>
        <v/>
      </c>
      <c r="L322" s="14">
        <f>IF(G322="Yes",(1-(1-F322*(1-Assumptions!$B$6))^(Assumptions!$B$4/12))*I322,K322)</f>
        <v/>
      </c>
    </row>
    <row r="323">
      <c r="A323" s="9" t="inlineStr">
        <is>
          <t>DF-100677</t>
        </is>
      </c>
      <c r="B323" s="9" t="inlineStr">
        <is>
          <t>Engineering</t>
        </is>
      </c>
      <c r="C323" s="9" t="inlineStr">
        <is>
          <t>L2 - Mid</t>
        </is>
      </c>
      <c r="D323" s="10" t="n">
        <v>83000</v>
      </c>
      <c r="E323" s="11" t="n">
        <v>23.5</v>
      </c>
      <c r="F323" s="12">
        <f>E323/100</f>
        <v/>
      </c>
      <c r="G323" s="9" t="inlineStr">
        <is>
          <t>No</t>
        </is>
      </c>
      <c r="H323" s="13">
        <f>VLOOKUP(C323,Assumptions!$A$10:$B$15,2,FALSE)</f>
        <v/>
      </c>
      <c r="I323" s="14">
        <f>D323*H323</f>
        <v/>
      </c>
      <c r="J323" s="12">
        <f>1-(1-F323)^(Assumptions!$B$4/12)</f>
        <v/>
      </c>
      <c r="K323" s="14">
        <f>J323*I323</f>
        <v/>
      </c>
      <c r="L323" s="14">
        <f>IF(G323="Yes",(1-(1-F323*(1-Assumptions!$B$6))^(Assumptions!$B$4/12))*I323,K323)</f>
        <v/>
      </c>
    </row>
    <row r="324">
      <c r="A324" s="9" t="inlineStr">
        <is>
          <t>DF-100541</t>
        </is>
      </c>
      <c r="B324" s="9" t="inlineStr">
        <is>
          <t>Engineering</t>
        </is>
      </c>
      <c r="C324" s="9" t="inlineStr">
        <is>
          <t>L1 - Junior</t>
        </is>
      </c>
      <c r="D324" s="10" t="n">
        <v>65680</v>
      </c>
      <c r="E324" s="11" t="n">
        <v>23.3</v>
      </c>
      <c r="F324" s="12">
        <f>E324/100</f>
        <v/>
      </c>
      <c r="G324" s="9" t="inlineStr">
        <is>
          <t>No</t>
        </is>
      </c>
      <c r="H324" s="13">
        <f>VLOOKUP(C324,Assumptions!$A$10:$B$15,2,FALSE)</f>
        <v/>
      </c>
      <c r="I324" s="14">
        <f>D324*H324</f>
        <v/>
      </c>
      <c r="J324" s="12">
        <f>1-(1-F324)^(Assumptions!$B$4/12)</f>
        <v/>
      </c>
      <c r="K324" s="14">
        <f>J324*I324</f>
        <v/>
      </c>
      <c r="L324" s="14">
        <f>IF(G324="Yes",(1-(1-F324*(1-Assumptions!$B$6))^(Assumptions!$B$4/12))*I324,K324)</f>
        <v/>
      </c>
    </row>
    <row r="325">
      <c r="A325" s="9" t="inlineStr">
        <is>
          <t>DF-100627</t>
        </is>
      </c>
      <c r="B325" s="9" t="inlineStr">
        <is>
          <t>Data &amp; Analytics</t>
        </is>
      </c>
      <c r="C325" s="9" t="inlineStr">
        <is>
          <t>L5 - Manager</t>
        </is>
      </c>
      <c r="D325" s="10" t="n">
        <v>162108</v>
      </c>
      <c r="E325" s="11" t="n">
        <v>23.3</v>
      </c>
      <c r="F325" s="12">
        <f>E325/100</f>
        <v/>
      </c>
      <c r="G325" s="9" t="inlineStr">
        <is>
          <t>No</t>
        </is>
      </c>
      <c r="H325" s="13">
        <f>VLOOKUP(C325,Assumptions!$A$10:$B$15,2,FALSE)</f>
        <v/>
      </c>
      <c r="I325" s="14">
        <f>D325*H325</f>
        <v/>
      </c>
      <c r="J325" s="12">
        <f>1-(1-F325)^(Assumptions!$B$4/12)</f>
        <v/>
      </c>
      <c r="K325" s="14">
        <f>J325*I325</f>
        <v/>
      </c>
      <c r="L325" s="14">
        <f>IF(G325="Yes",(1-(1-F325*(1-Assumptions!$B$6))^(Assumptions!$B$4/12))*I325,K325)</f>
        <v/>
      </c>
    </row>
    <row r="326">
      <c r="A326" s="9" t="inlineStr">
        <is>
          <t>DF-100656</t>
        </is>
      </c>
      <c r="B326" s="9" t="inlineStr">
        <is>
          <t>Customer Success</t>
        </is>
      </c>
      <c r="C326" s="9" t="inlineStr">
        <is>
          <t>L2 - Mid</t>
        </is>
      </c>
      <c r="D326" s="10" t="n">
        <v>55699</v>
      </c>
      <c r="E326" s="11" t="n">
        <v>22.8</v>
      </c>
      <c r="F326" s="12">
        <f>E326/100</f>
        <v/>
      </c>
      <c r="G326" s="9" t="inlineStr">
        <is>
          <t>No</t>
        </is>
      </c>
      <c r="H326" s="13">
        <f>VLOOKUP(C326,Assumptions!$A$10:$B$15,2,FALSE)</f>
        <v/>
      </c>
      <c r="I326" s="14">
        <f>D326*H326</f>
        <v/>
      </c>
      <c r="J326" s="12">
        <f>1-(1-F326)^(Assumptions!$B$4/12)</f>
        <v/>
      </c>
      <c r="K326" s="14">
        <f>J326*I326</f>
        <v/>
      </c>
      <c r="L326" s="14">
        <f>IF(G326="Yes",(1-(1-F326*(1-Assumptions!$B$6))^(Assumptions!$B$4/12))*I326,K326)</f>
        <v/>
      </c>
    </row>
    <row r="327">
      <c r="A327" s="9" t="inlineStr">
        <is>
          <t>DF-100322</t>
        </is>
      </c>
      <c r="B327" s="9" t="inlineStr">
        <is>
          <t>Support</t>
        </is>
      </c>
      <c r="C327" s="9" t="inlineStr">
        <is>
          <t>L4 - Lead</t>
        </is>
      </c>
      <c r="D327" s="10" t="n">
        <v>96985</v>
      </c>
      <c r="E327" s="11" t="n">
        <v>22.3</v>
      </c>
      <c r="F327" s="12">
        <f>E327/100</f>
        <v/>
      </c>
      <c r="G327" s="9" t="inlineStr">
        <is>
          <t>No</t>
        </is>
      </c>
      <c r="H327" s="13">
        <f>VLOOKUP(C327,Assumptions!$A$10:$B$15,2,FALSE)</f>
        <v/>
      </c>
      <c r="I327" s="14">
        <f>D327*H327</f>
        <v/>
      </c>
      <c r="J327" s="12">
        <f>1-(1-F327)^(Assumptions!$B$4/12)</f>
        <v/>
      </c>
      <c r="K327" s="14">
        <f>J327*I327</f>
        <v/>
      </c>
      <c r="L327" s="14">
        <f>IF(G327="Yes",(1-(1-F327*(1-Assumptions!$B$6))^(Assumptions!$B$4/12))*I327,K327)</f>
        <v/>
      </c>
    </row>
    <row r="328">
      <c r="A328" s="9" t="inlineStr">
        <is>
          <t>DF-100097</t>
        </is>
      </c>
      <c r="B328" s="9" t="inlineStr">
        <is>
          <t>Support</t>
        </is>
      </c>
      <c r="C328" s="9" t="inlineStr">
        <is>
          <t>L2 - Mid</t>
        </is>
      </c>
      <c r="D328" s="10" t="n">
        <v>61203</v>
      </c>
      <c r="E328" s="11" t="n">
        <v>22.2</v>
      </c>
      <c r="F328" s="12">
        <f>E328/100</f>
        <v/>
      </c>
      <c r="G328" s="9" t="inlineStr">
        <is>
          <t>No</t>
        </is>
      </c>
      <c r="H328" s="13">
        <f>VLOOKUP(C328,Assumptions!$A$10:$B$15,2,FALSE)</f>
        <v/>
      </c>
      <c r="I328" s="14">
        <f>D328*H328</f>
        <v/>
      </c>
      <c r="J328" s="12">
        <f>1-(1-F328)^(Assumptions!$B$4/12)</f>
        <v/>
      </c>
      <c r="K328" s="14">
        <f>J328*I328</f>
        <v/>
      </c>
      <c r="L328" s="14">
        <f>IF(G328="Yes",(1-(1-F328*(1-Assumptions!$B$6))^(Assumptions!$B$4/12))*I328,K328)</f>
        <v/>
      </c>
    </row>
    <row r="329">
      <c r="A329" s="9" t="inlineStr">
        <is>
          <t>DF-100678</t>
        </is>
      </c>
      <c r="B329" s="9" t="inlineStr">
        <is>
          <t>Sales</t>
        </is>
      </c>
      <c r="C329" s="9" t="inlineStr">
        <is>
          <t>L2 - Mid</t>
        </is>
      </c>
      <c r="D329" s="10" t="n">
        <v>53917</v>
      </c>
      <c r="E329" s="11" t="n">
        <v>22.1</v>
      </c>
      <c r="F329" s="12">
        <f>E329/100</f>
        <v/>
      </c>
      <c r="G329" s="9" t="inlineStr">
        <is>
          <t>No</t>
        </is>
      </c>
      <c r="H329" s="13">
        <f>VLOOKUP(C329,Assumptions!$A$10:$B$15,2,FALSE)</f>
        <v/>
      </c>
      <c r="I329" s="14">
        <f>D329*H329</f>
        <v/>
      </c>
      <c r="J329" s="12">
        <f>1-(1-F329)^(Assumptions!$B$4/12)</f>
        <v/>
      </c>
      <c r="K329" s="14">
        <f>J329*I329</f>
        <v/>
      </c>
      <c r="L329" s="14">
        <f>IF(G329="Yes",(1-(1-F329*(1-Assumptions!$B$6))^(Assumptions!$B$4/12))*I329,K329)</f>
        <v/>
      </c>
    </row>
    <row r="330">
      <c r="A330" s="9" t="inlineStr">
        <is>
          <t>DF-100476</t>
        </is>
      </c>
      <c r="B330" s="9" t="inlineStr">
        <is>
          <t>Sales</t>
        </is>
      </c>
      <c r="C330" s="9" t="inlineStr">
        <is>
          <t>L3 - Senior</t>
        </is>
      </c>
      <c r="D330" s="10" t="n">
        <v>87453</v>
      </c>
      <c r="E330" s="11" t="n">
        <v>22.1</v>
      </c>
      <c r="F330" s="12">
        <f>E330/100</f>
        <v/>
      </c>
      <c r="G330" s="9" t="inlineStr">
        <is>
          <t>No</t>
        </is>
      </c>
      <c r="H330" s="13">
        <f>VLOOKUP(C330,Assumptions!$A$10:$B$15,2,FALSE)</f>
        <v/>
      </c>
      <c r="I330" s="14">
        <f>D330*H330</f>
        <v/>
      </c>
      <c r="J330" s="12">
        <f>1-(1-F330)^(Assumptions!$B$4/12)</f>
        <v/>
      </c>
      <c r="K330" s="14">
        <f>J330*I330</f>
        <v/>
      </c>
      <c r="L330" s="14">
        <f>IF(G330="Yes",(1-(1-F330*(1-Assumptions!$B$6))^(Assumptions!$B$4/12))*I330,K330)</f>
        <v/>
      </c>
    </row>
    <row r="331">
      <c r="A331" s="9" t="inlineStr">
        <is>
          <t>DF-100181</t>
        </is>
      </c>
      <c r="B331" s="9" t="inlineStr">
        <is>
          <t>Sales</t>
        </is>
      </c>
      <c r="C331" s="9" t="inlineStr">
        <is>
          <t>L2 - Mid</t>
        </is>
      </c>
      <c r="D331" s="10" t="n">
        <v>81049</v>
      </c>
      <c r="E331" s="11" t="n">
        <v>22.1</v>
      </c>
      <c r="F331" s="12">
        <f>E331/100</f>
        <v/>
      </c>
      <c r="G331" s="9" t="inlineStr">
        <is>
          <t>No</t>
        </is>
      </c>
      <c r="H331" s="13">
        <f>VLOOKUP(C331,Assumptions!$A$10:$B$15,2,FALSE)</f>
        <v/>
      </c>
      <c r="I331" s="14">
        <f>D331*H331</f>
        <v/>
      </c>
      <c r="J331" s="12">
        <f>1-(1-F331)^(Assumptions!$B$4/12)</f>
        <v/>
      </c>
      <c r="K331" s="14">
        <f>J331*I331</f>
        <v/>
      </c>
      <c r="L331" s="14">
        <f>IF(G331="Yes",(1-(1-F331*(1-Assumptions!$B$6))^(Assumptions!$B$4/12))*I331,K331)</f>
        <v/>
      </c>
    </row>
    <row r="332">
      <c r="A332" s="9" t="inlineStr">
        <is>
          <t>DF-100384</t>
        </is>
      </c>
      <c r="B332" s="9" t="inlineStr">
        <is>
          <t>Operations</t>
        </is>
      </c>
      <c r="C332" s="9" t="inlineStr">
        <is>
          <t>L2 - Mid</t>
        </is>
      </c>
      <c r="D332" s="10" t="n">
        <v>67963</v>
      </c>
      <c r="E332" s="11" t="n">
        <v>22.1</v>
      </c>
      <c r="F332" s="12">
        <f>E332/100</f>
        <v/>
      </c>
      <c r="G332" s="9" t="inlineStr">
        <is>
          <t>No</t>
        </is>
      </c>
      <c r="H332" s="13">
        <f>VLOOKUP(C332,Assumptions!$A$10:$B$15,2,FALSE)</f>
        <v/>
      </c>
      <c r="I332" s="14">
        <f>D332*H332</f>
        <v/>
      </c>
      <c r="J332" s="12">
        <f>1-(1-F332)^(Assumptions!$B$4/12)</f>
        <v/>
      </c>
      <c r="K332" s="14">
        <f>J332*I332</f>
        <v/>
      </c>
      <c r="L332" s="14">
        <f>IF(G332="Yes",(1-(1-F332*(1-Assumptions!$B$6))^(Assumptions!$B$4/12))*I332,K332)</f>
        <v/>
      </c>
    </row>
    <row r="333">
      <c r="A333" s="9" t="inlineStr">
        <is>
          <t>DF-100226</t>
        </is>
      </c>
      <c r="B333" s="9" t="inlineStr">
        <is>
          <t>Sales</t>
        </is>
      </c>
      <c r="C333" s="9" t="inlineStr">
        <is>
          <t>L1 - Junior</t>
        </is>
      </c>
      <c r="D333" s="10" t="n">
        <v>55994</v>
      </c>
      <c r="E333" s="11" t="n">
        <v>22.1</v>
      </c>
      <c r="F333" s="12">
        <f>E333/100</f>
        <v/>
      </c>
      <c r="G333" s="9" t="inlineStr">
        <is>
          <t>No</t>
        </is>
      </c>
      <c r="H333" s="13">
        <f>VLOOKUP(C333,Assumptions!$A$10:$B$15,2,FALSE)</f>
        <v/>
      </c>
      <c r="I333" s="14">
        <f>D333*H333</f>
        <v/>
      </c>
      <c r="J333" s="12">
        <f>1-(1-F333)^(Assumptions!$B$4/12)</f>
        <v/>
      </c>
      <c r="K333" s="14">
        <f>J333*I333</f>
        <v/>
      </c>
      <c r="L333" s="14">
        <f>IF(G333="Yes",(1-(1-F333*(1-Assumptions!$B$6))^(Assumptions!$B$4/12))*I333,K333)</f>
        <v/>
      </c>
    </row>
    <row r="334">
      <c r="A334" s="9" t="inlineStr">
        <is>
          <t>DF-100313</t>
        </is>
      </c>
      <c r="B334" s="9" t="inlineStr">
        <is>
          <t>Marketing</t>
        </is>
      </c>
      <c r="C334" s="9" t="inlineStr">
        <is>
          <t>L6 - Director</t>
        </is>
      </c>
      <c r="D334" s="10" t="n">
        <v>129038</v>
      </c>
      <c r="E334" s="11" t="n">
        <v>22</v>
      </c>
      <c r="F334" s="12">
        <f>E334/100</f>
        <v/>
      </c>
      <c r="G334" s="9" t="inlineStr">
        <is>
          <t>No</t>
        </is>
      </c>
      <c r="H334" s="13">
        <f>VLOOKUP(C334,Assumptions!$A$10:$B$15,2,FALSE)</f>
        <v/>
      </c>
      <c r="I334" s="14">
        <f>D334*H334</f>
        <v/>
      </c>
      <c r="J334" s="12">
        <f>1-(1-F334)^(Assumptions!$B$4/12)</f>
        <v/>
      </c>
      <c r="K334" s="14">
        <f>J334*I334</f>
        <v/>
      </c>
      <c r="L334" s="14">
        <f>IF(G334="Yes",(1-(1-F334*(1-Assumptions!$B$6))^(Assumptions!$B$4/12))*I334,K334)</f>
        <v/>
      </c>
    </row>
    <row r="335">
      <c r="A335" s="9" t="inlineStr">
        <is>
          <t>DF-100180</t>
        </is>
      </c>
      <c r="B335" s="9" t="inlineStr">
        <is>
          <t>Engineering</t>
        </is>
      </c>
      <c r="C335" s="9" t="inlineStr">
        <is>
          <t>L1 - Junior</t>
        </is>
      </c>
      <c r="D335" s="10" t="n">
        <v>61628</v>
      </c>
      <c r="E335" s="11" t="n">
        <v>21.8</v>
      </c>
      <c r="F335" s="12">
        <f>E335/100</f>
        <v/>
      </c>
      <c r="G335" s="9" t="inlineStr">
        <is>
          <t>No</t>
        </is>
      </c>
      <c r="H335" s="13">
        <f>VLOOKUP(C335,Assumptions!$A$10:$B$15,2,FALSE)</f>
        <v/>
      </c>
      <c r="I335" s="14">
        <f>D335*H335</f>
        <v/>
      </c>
      <c r="J335" s="12">
        <f>1-(1-F335)^(Assumptions!$B$4/12)</f>
        <v/>
      </c>
      <c r="K335" s="14">
        <f>J335*I335</f>
        <v/>
      </c>
      <c r="L335" s="14">
        <f>IF(G335="Yes",(1-(1-F335*(1-Assumptions!$B$6))^(Assumptions!$B$4/12))*I335,K335)</f>
        <v/>
      </c>
    </row>
    <row r="336">
      <c r="A336" s="9" t="inlineStr">
        <is>
          <t>DF-100028</t>
        </is>
      </c>
      <c r="B336" s="9" t="inlineStr">
        <is>
          <t>Support</t>
        </is>
      </c>
      <c r="C336" s="9" t="inlineStr">
        <is>
          <t>L2 - Mid</t>
        </is>
      </c>
      <c r="D336" s="10" t="n">
        <v>51449</v>
      </c>
      <c r="E336" s="11" t="n">
        <v>21.7</v>
      </c>
      <c r="F336" s="12">
        <f>E336/100</f>
        <v/>
      </c>
      <c r="G336" s="9" t="inlineStr">
        <is>
          <t>No</t>
        </is>
      </c>
      <c r="H336" s="13">
        <f>VLOOKUP(C336,Assumptions!$A$10:$B$15,2,FALSE)</f>
        <v/>
      </c>
      <c r="I336" s="14">
        <f>D336*H336</f>
        <v/>
      </c>
      <c r="J336" s="12">
        <f>1-(1-F336)^(Assumptions!$B$4/12)</f>
        <v/>
      </c>
      <c r="K336" s="14">
        <f>J336*I336</f>
        <v/>
      </c>
      <c r="L336" s="14">
        <f>IF(G336="Yes",(1-(1-F336*(1-Assumptions!$B$6))^(Assumptions!$B$4/12))*I336,K336)</f>
        <v/>
      </c>
    </row>
    <row r="337">
      <c r="A337" s="9" t="inlineStr">
        <is>
          <t>DF-100477</t>
        </is>
      </c>
      <c r="B337" s="9" t="inlineStr">
        <is>
          <t>Sales</t>
        </is>
      </c>
      <c r="C337" s="9" t="inlineStr">
        <is>
          <t>L1 - Junior</t>
        </is>
      </c>
      <c r="D337" s="10" t="n">
        <v>46733</v>
      </c>
      <c r="E337" s="11" t="n">
        <v>21.7</v>
      </c>
      <c r="F337" s="12">
        <f>E337/100</f>
        <v/>
      </c>
      <c r="G337" s="9" t="inlineStr">
        <is>
          <t>No</t>
        </is>
      </c>
      <c r="H337" s="13">
        <f>VLOOKUP(C337,Assumptions!$A$10:$B$15,2,FALSE)</f>
        <v/>
      </c>
      <c r="I337" s="14">
        <f>D337*H337</f>
        <v/>
      </c>
      <c r="J337" s="12">
        <f>1-(1-F337)^(Assumptions!$B$4/12)</f>
        <v/>
      </c>
      <c r="K337" s="14">
        <f>J337*I337</f>
        <v/>
      </c>
      <c r="L337" s="14">
        <f>IF(G337="Yes",(1-(1-F337*(1-Assumptions!$B$6))^(Assumptions!$B$4/12))*I337,K337)</f>
        <v/>
      </c>
    </row>
    <row r="338">
      <c r="A338" s="9" t="inlineStr">
        <is>
          <t>DF-100665</t>
        </is>
      </c>
      <c r="B338" s="9" t="inlineStr">
        <is>
          <t>Finance</t>
        </is>
      </c>
      <c r="C338" s="9" t="inlineStr">
        <is>
          <t>L3 - Senior</t>
        </is>
      </c>
      <c r="D338" s="10" t="n">
        <v>97392</v>
      </c>
      <c r="E338" s="11" t="n">
        <v>21.6</v>
      </c>
      <c r="F338" s="12">
        <f>E338/100</f>
        <v/>
      </c>
      <c r="G338" s="9" t="inlineStr">
        <is>
          <t>No</t>
        </is>
      </c>
      <c r="H338" s="13">
        <f>VLOOKUP(C338,Assumptions!$A$10:$B$15,2,FALSE)</f>
        <v/>
      </c>
      <c r="I338" s="14">
        <f>D338*H338</f>
        <v/>
      </c>
      <c r="J338" s="12">
        <f>1-(1-F338)^(Assumptions!$B$4/12)</f>
        <v/>
      </c>
      <c r="K338" s="14">
        <f>J338*I338</f>
        <v/>
      </c>
      <c r="L338" s="14">
        <f>IF(G338="Yes",(1-(1-F338*(1-Assumptions!$B$6))^(Assumptions!$B$4/12))*I338,K338)</f>
        <v/>
      </c>
    </row>
    <row r="339">
      <c r="A339" s="9" t="inlineStr">
        <is>
          <t>DF-100638</t>
        </is>
      </c>
      <c r="B339" s="9" t="inlineStr">
        <is>
          <t>Product</t>
        </is>
      </c>
      <c r="C339" s="9" t="inlineStr">
        <is>
          <t>L2 - Mid</t>
        </is>
      </c>
      <c r="D339" s="10" t="n">
        <v>87625</v>
      </c>
      <c r="E339" s="11" t="n">
        <v>21.6</v>
      </c>
      <c r="F339" s="12">
        <f>E339/100</f>
        <v/>
      </c>
      <c r="G339" s="9" t="inlineStr">
        <is>
          <t>No</t>
        </is>
      </c>
      <c r="H339" s="13">
        <f>VLOOKUP(C339,Assumptions!$A$10:$B$15,2,FALSE)</f>
        <v/>
      </c>
      <c r="I339" s="14">
        <f>D339*H339</f>
        <v/>
      </c>
      <c r="J339" s="12">
        <f>1-(1-F339)^(Assumptions!$B$4/12)</f>
        <v/>
      </c>
      <c r="K339" s="14">
        <f>J339*I339</f>
        <v/>
      </c>
      <c r="L339" s="14">
        <f>IF(G339="Yes",(1-(1-F339*(1-Assumptions!$B$6))^(Assumptions!$B$4/12))*I339,K339)</f>
        <v/>
      </c>
    </row>
    <row r="340">
      <c r="A340" s="9" t="inlineStr">
        <is>
          <t>DF-100550</t>
        </is>
      </c>
      <c r="B340" s="9" t="inlineStr">
        <is>
          <t>Engineering</t>
        </is>
      </c>
      <c r="C340" s="9" t="inlineStr">
        <is>
          <t>L1 - Junior</t>
        </is>
      </c>
      <c r="D340" s="10" t="n">
        <v>53225</v>
      </c>
      <c r="E340" s="11" t="n">
        <v>21.4</v>
      </c>
      <c r="F340" s="12">
        <f>E340/100</f>
        <v/>
      </c>
      <c r="G340" s="9" t="inlineStr">
        <is>
          <t>No</t>
        </is>
      </c>
      <c r="H340" s="13">
        <f>VLOOKUP(C340,Assumptions!$A$10:$B$15,2,FALSE)</f>
        <v/>
      </c>
      <c r="I340" s="14">
        <f>D340*H340</f>
        <v/>
      </c>
      <c r="J340" s="12">
        <f>1-(1-F340)^(Assumptions!$B$4/12)</f>
        <v/>
      </c>
      <c r="K340" s="14">
        <f>J340*I340</f>
        <v/>
      </c>
      <c r="L340" s="14">
        <f>IF(G340="Yes",(1-(1-F340*(1-Assumptions!$B$6))^(Assumptions!$B$4/12))*I340,K340)</f>
        <v/>
      </c>
    </row>
    <row r="341">
      <c r="A341" s="9" t="inlineStr">
        <is>
          <t>DF-100298</t>
        </is>
      </c>
      <c r="B341" s="9" t="inlineStr">
        <is>
          <t>Finance</t>
        </is>
      </c>
      <c r="C341" s="9" t="inlineStr">
        <is>
          <t>L3 - Senior</t>
        </is>
      </c>
      <c r="D341" s="10" t="n">
        <v>97007</v>
      </c>
      <c r="E341" s="11" t="n">
        <v>21.3</v>
      </c>
      <c r="F341" s="12">
        <f>E341/100</f>
        <v/>
      </c>
      <c r="G341" s="9" t="inlineStr">
        <is>
          <t>No</t>
        </is>
      </c>
      <c r="H341" s="13">
        <f>VLOOKUP(C341,Assumptions!$A$10:$B$15,2,FALSE)</f>
        <v/>
      </c>
      <c r="I341" s="14">
        <f>D341*H341</f>
        <v/>
      </c>
      <c r="J341" s="12">
        <f>1-(1-F341)^(Assumptions!$B$4/12)</f>
        <v/>
      </c>
      <c r="K341" s="14">
        <f>J341*I341</f>
        <v/>
      </c>
      <c r="L341" s="14">
        <f>IF(G341="Yes",(1-(1-F341*(1-Assumptions!$B$6))^(Assumptions!$B$4/12))*I341,K341)</f>
        <v/>
      </c>
    </row>
    <row r="342">
      <c r="A342" s="9" t="inlineStr">
        <is>
          <t>DF-100058</t>
        </is>
      </c>
      <c r="B342" s="9" t="inlineStr">
        <is>
          <t>Sales</t>
        </is>
      </c>
      <c r="C342" s="9" t="inlineStr">
        <is>
          <t>L3 - Senior</t>
        </is>
      </c>
      <c r="D342" s="10" t="n">
        <v>94403</v>
      </c>
      <c r="E342" s="11" t="n">
        <v>21.3</v>
      </c>
      <c r="F342" s="12">
        <f>E342/100</f>
        <v/>
      </c>
      <c r="G342" s="9" t="inlineStr">
        <is>
          <t>No</t>
        </is>
      </c>
      <c r="H342" s="13">
        <f>VLOOKUP(C342,Assumptions!$A$10:$B$15,2,FALSE)</f>
        <v/>
      </c>
      <c r="I342" s="14">
        <f>D342*H342</f>
        <v/>
      </c>
      <c r="J342" s="12">
        <f>1-(1-F342)^(Assumptions!$B$4/12)</f>
        <v/>
      </c>
      <c r="K342" s="14">
        <f>J342*I342</f>
        <v/>
      </c>
      <c r="L342" s="14">
        <f>IF(G342="Yes",(1-(1-F342*(1-Assumptions!$B$6))^(Assumptions!$B$4/12))*I342,K342)</f>
        <v/>
      </c>
    </row>
    <row r="343">
      <c r="A343" s="9" t="inlineStr">
        <is>
          <t>DF-100630</t>
        </is>
      </c>
      <c r="B343" s="9" t="inlineStr">
        <is>
          <t>Data &amp; Analytics</t>
        </is>
      </c>
      <c r="C343" s="9" t="inlineStr">
        <is>
          <t>L2 - Mid</t>
        </is>
      </c>
      <c r="D343" s="10" t="n">
        <v>77257</v>
      </c>
      <c r="E343" s="11" t="n">
        <v>21.3</v>
      </c>
      <c r="F343" s="12">
        <f>E343/100</f>
        <v/>
      </c>
      <c r="G343" s="9" t="inlineStr">
        <is>
          <t>No</t>
        </is>
      </c>
      <c r="H343" s="13">
        <f>VLOOKUP(C343,Assumptions!$A$10:$B$15,2,FALSE)</f>
        <v/>
      </c>
      <c r="I343" s="14">
        <f>D343*H343</f>
        <v/>
      </c>
      <c r="J343" s="12">
        <f>1-(1-F343)^(Assumptions!$B$4/12)</f>
        <v/>
      </c>
      <c r="K343" s="14">
        <f>J343*I343</f>
        <v/>
      </c>
      <c r="L343" s="14">
        <f>IF(G343="Yes",(1-(1-F343*(1-Assumptions!$B$6))^(Assumptions!$B$4/12))*I343,K343)</f>
        <v/>
      </c>
    </row>
    <row r="344">
      <c r="A344" s="9" t="inlineStr">
        <is>
          <t>DF-100063</t>
        </is>
      </c>
      <c r="B344" s="9" t="inlineStr">
        <is>
          <t>Support</t>
        </is>
      </c>
      <c r="C344" s="9" t="inlineStr">
        <is>
          <t>L1 - Junior</t>
        </is>
      </c>
      <c r="D344" s="10" t="n">
        <v>37708</v>
      </c>
      <c r="E344" s="11" t="n">
        <v>21.3</v>
      </c>
      <c r="F344" s="12">
        <f>E344/100</f>
        <v/>
      </c>
      <c r="G344" s="9" t="inlineStr">
        <is>
          <t>No</t>
        </is>
      </c>
      <c r="H344" s="13">
        <f>VLOOKUP(C344,Assumptions!$A$10:$B$15,2,FALSE)</f>
        <v/>
      </c>
      <c r="I344" s="14">
        <f>D344*H344</f>
        <v/>
      </c>
      <c r="J344" s="12">
        <f>1-(1-F344)^(Assumptions!$B$4/12)</f>
        <v/>
      </c>
      <c r="K344" s="14">
        <f>J344*I344</f>
        <v/>
      </c>
      <c r="L344" s="14">
        <f>IF(G344="Yes",(1-(1-F344*(1-Assumptions!$B$6))^(Assumptions!$B$4/12))*I344,K344)</f>
        <v/>
      </c>
    </row>
    <row r="345">
      <c r="A345" s="9" t="inlineStr">
        <is>
          <t>DF-100171</t>
        </is>
      </c>
      <c r="B345" s="9" t="inlineStr">
        <is>
          <t>Customer Success</t>
        </is>
      </c>
      <c r="C345" s="9" t="inlineStr">
        <is>
          <t>L2 - Mid</t>
        </is>
      </c>
      <c r="D345" s="10" t="n">
        <v>72727</v>
      </c>
      <c r="E345" s="11" t="n">
        <v>21.2</v>
      </c>
      <c r="F345" s="12">
        <f>E345/100</f>
        <v/>
      </c>
      <c r="G345" s="9" t="inlineStr">
        <is>
          <t>No</t>
        </is>
      </c>
      <c r="H345" s="13">
        <f>VLOOKUP(C345,Assumptions!$A$10:$B$15,2,FALSE)</f>
        <v/>
      </c>
      <c r="I345" s="14">
        <f>D345*H345</f>
        <v/>
      </c>
      <c r="J345" s="12">
        <f>1-(1-F345)^(Assumptions!$B$4/12)</f>
        <v/>
      </c>
      <c r="K345" s="14">
        <f>J345*I345</f>
        <v/>
      </c>
      <c r="L345" s="14">
        <f>IF(G345="Yes",(1-(1-F345*(1-Assumptions!$B$6))^(Assumptions!$B$4/12))*I345,K345)</f>
        <v/>
      </c>
    </row>
    <row r="346">
      <c r="A346" s="9" t="inlineStr">
        <is>
          <t>DF-100420</t>
        </is>
      </c>
      <c r="B346" s="9" t="inlineStr">
        <is>
          <t>Sales</t>
        </is>
      </c>
      <c r="C346" s="9" t="inlineStr">
        <is>
          <t>L1 - Junior</t>
        </is>
      </c>
      <c r="D346" s="10" t="n">
        <v>55750</v>
      </c>
      <c r="E346" s="11" t="n">
        <v>21.2</v>
      </c>
      <c r="F346" s="12">
        <f>E346/100</f>
        <v/>
      </c>
      <c r="G346" s="9" t="inlineStr">
        <is>
          <t>No</t>
        </is>
      </c>
      <c r="H346" s="13">
        <f>VLOOKUP(C346,Assumptions!$A$10:$B$15,2,FALSE)</f>
        <v/>
      </c>
      <c r="I346" s="14">
        <f>D346*H346</f>
        <v/>
      </c>
      <c r="J346" s="12">
        <f>1-(1-F346)^(Assumptions!$B$4/12)</f>
        <v/>
      </c>
      <c r="K346" s="14">
        <f>J346*I346</f>
        <v/>
      </c>
      <c r="L346" s="14">
        <f>IF(G346="Yes",(1-(1-F346*(1-Assumptions!$B$6))^(Assumptions!$B$4/12))*I346,K346)</f>
        <v/>
      </c>
    </row>
    <row r="347">
      <c r="A347" s="9" t="inlineStr">
        <is>
          <t>DF-100520</t>
        </is>
      </c>
      <c r="B347" s="9" t="inlineStr">
        <is>
          <t>People/HR</t>
        </is>
      </c>
      <c r="C347" s="9" t="inlineStr">
        <is>
          <t>L3 - Senior</t>
        </is>
      </c>
      <c r="D347" s="10" t="n">
        <v>92628</v>
      </c>
      <c r="E347" s="11" t="n">
        <v>21.2</v>
      </c>
      <c r="F347" s="12">
        <f>E347/100</f>
        <v/>
      </c>
      <c r="G347" s="9" t="inlineStr">
        <is>
          <t>No</t>
        </is>
      </c>
      <c r="H347" s="13">
        <f>VLOOKUP(C347,Assumptions!$A$10:$B$15,2,FALSE)</f>
        <v/>
      </c>
      <c r="I347" s="14">
        <f>D347*H347</f>
        <v/>
      </c>
      <c r="J347" s="12">
        <f>1-(1-F347)^(Assumptions!$B$4/12)</f>
        <v/>
      </c>
      <c r="K347" s="14">
        <f>J347*I347</f>
        <v/>
      </c>
      <c r="L347" s="14">
        <f>IF(G347="Yes",(1-(1-F347*(1-Assumptions!$B$6))^(Assumptions!$B$4/12))*I347,K347)</f>
        <v/>
      </c>
    </row>
    <row r="348">
      <c r="A348" s="9" t="inlineStr">
        <is>
          <t>DF-100514</t>
        </is>
      </c>
      <c r="B348" s="9" t="inlineStr">
        <is>
          <t>Marketing</t>
        </is>
      </c>
      <c r="C348" s="9" t="inlineStr">
        <is>
          <t>L1 - Junior</t>
        </is>
      </c>
      <c r="D348" s="10" t="n">
        <v>46877</v>
      </c>
      <c r="E348" s="11" t="n">
        <v>21.1</v>
      </c>
      <c r="F348" s="12">
        <f>E348/100</f>
        <v/>
      </c>
      <c r="G348" s="9" t="inlineStr">
        <is>
          <t>No</t>
        </is>
      </c>
      <c r="H348" s="13">
        <f>VLOOKUP(C348,Assumptions!$A$10:$B$15,2,FALSE)</f>
        <v/>
      </c>
      <c r="I348" s="14">
        <f>D348*H348</f>
        <v/>
      </c>
      <c r="J348" s="12">
        <f>1-(1-F348)^(Assumptions!$B$4/12)</f>
        <v/>
      </c>
      <c r="K348" s="14">
        <f>J348*I348</f>
        <v/>
      </c>
      <c r="L348" s="14">
        <f>IF(G348="Yes",(1-(1-F348*(1-Assumptions!$B$6))^(Assumptions!$B$4/12))*I348,K348)</f>
        <v/>
      </c>
    </row>
    <row r="349">
      <c r="A349" s="9" t="inlineStr">
        <is>
          <t>DF-100176</t>
        </is>
      </c>
      <c r="B349" s="9" t="inlineStr">
        <is>
          <t>Operations</t>
        </is>
      </c>
      <c r="C349" s="9" t="inlineStr">
        <is>
          <t>L3 - Senior</t>
        </is>
      </c>
      <c r="D349" s="10" t="n">
        <v>85540</v>
      </c>
      <c r="E349" s="11" t="n">
        <v>21</v>
      </c>
      <c r="F349" s="12">
        <f>E349/100</f>
        <v/>
      </c>
      <c r="G349" s="9" t="inlineStr">
        <is>
          <t>No</t>
        </is>
      </c>
      <c r="H349" s="13">
        <f>VLOOKUP(C349,Assumptions!$A$10:$B$15,2,FALSE)</f>
        <v/>
      </c>
      <c r="I349" s="14">
        <f>D349*H349</f>
        <v/>
      </c>
      <c r="J349" s="12">
        <f>1-(1-F349)^(Assumptions!$B$4/12)</f>
        <v/>
      </c>
      <c r="K349" s="14">
        <f>J349*I349</f>
        <v/>
      </c>
      <c r="L349" s="14">
        <f>IF(G349="Yes",(1-(1-F349*(1-Assumptions!$B$6))^(Assumptions!$B$4/12))*I349,K349)</f>
        <v/>
      </c>
    </row>
    <row r="350">
      <c r="A350" s="9" t="inlineStr">
        <is>
          <t>DF-100412</t>
        </is>
      </c>
      <c r="B350" s="9" t="inlineStr">
        <is>
          <t>Customer Success</t>
        </is>
      </c>
      <c r="C350" s="9" t="inlineStr">
        <is>
          <t>L2 - Mid</t>
        </is>
      </c>
      <c r="D350" s="10" t="n">
        <v>70501</v>
      </c>
      <c r="E350" s="11" t="n">
        <v>20.9</v>
      </c>
      <c r="F350" s="12">
        <f>E350/100</f>
        <v/>
      </c>
      <c r="G350" s="9" t="inlineStr">
        <is>
          <t>No</t>
        </is>
      </c>
      <c r="H350" s="13">
        <f>VLOOKUP(C350,Assumptions!$A$10:$B$15,2,FALSE)</f>
        <v/>
      </c>
      <c r="I350" s="14">
        <f>D350*H350</f>
        <v/>
      </c>
      <c r="J350" s="12">
        <f>1-(1-F350)^(Assumptions!$B$4/12)</f>
        <v/>
      </c>
      <c r="K350" s="14">
        <f>J350*I350</f>
        <v/>
      </c>
      <c r="L350" s="14">
        <f>IF(G350="Yes",(1-(1-F350*(1-Assumptions!$B$6))^(Assumptions!$B$4/12))*I350,K350)</f>
        <v/>
      </c>
    </row>
    <row r="351">
      <c r="A351" s="9" t="inlineStr">
        <is>
          <t>DF-100271</t>
        </is>
      </c>
      <c r="B351" s="9" t="inlineStr">
        <is>
          <t>Operations</t>
        </is>
      </c>
      <c r="C351" s="9" t="inlineStr">
        <is>
          <t>L2 - Mid</t>
        </is>
      </c>
      <c r="D351" s="10" t="n">
        <v>68495</v>
      </c>
      <c r="E351" s="11" t="n">
        <v>20.8</v>
      </c>
      <c r="F351" s="12">
        <f>E351/100</f>
        <v/>
      </c>
      <c r="G351" s="9" t="inlineStr">
        <is>
          <t>No</t>
        </is>
      </c>
      <c r="H351" s="13">
        <f>VLOOKUP(C351,Assumptions!$A$10:$B$15,2,FALSE)</f>
        <v/>
      </c>
      <c r="I351" s="14">
        <f>D351*H351</f>
        <v/>
      </c>
      <c r="J351" s="12">
        <f>1-(1-F351)^(Assumptions!$B$4/12)</f>
        <v/>
      </c>
      <c r="K351" s="14">
        <f>J351*I351</f>
        <v/>
      </c>
      <c r="L351" s="14">
        <f>IF(G351="Yes",(1-(1-F351*(1-Assumptions!$B$6))^(Assumptions!$B$4/12))*I351,K351)</f>
        <v/>
      </c>
    </row>
    <row r="352">
      <c r="A352" s="9" t="inlineStr">
        <is>
          <t>DF-100441</t>
        </is>
      </c>
      <c r="B352" s="9" t="inlineStr">
        <is>
          <t>Engineering</t>
        </is>
      </c>
      <c r="C352" s="9" t="inlineStr">
        <is>
          <t>L3 - Senior</t>
        </is>
      </c>
      <c r="D352" s="10" t="n">
        <v>95955</v>
      </c>
      <c r="E352" s="11" t="n">
        <v>20.6</v>
      </c>
      <c r="F352" s="12">
        <f>E352/100</f>
        <v/>
      </c>
      <c r="G352" s="9" t="inlineStr">
        <is>
          <t>No</t>
        </is>
      </c>
      <c r="H352" s="13">
        <f>VLOOKUP(C352,Assumptions!$A$10:$B$15,2,FALSE)</f>
        <v/>
      </c>
      <c r="I352" s="14">
        <f>D352*H352</f>
        <v/>
      </c>
      <c r="J352" s="12">
        <f>1-(1-F352)^(Assumptions!$B$4/12)</f>
        <v/>
      </c>
      <c r="K352" s="14">
        <f>J352*I352</f>
        <v/>
      </c>
      <c r="L352" s="14">
        <f>IF(G352="Yes",(1-(1-F352*(1-Assumptions!$B$6))^(Assumptions!$B$4/12))*I352,K352)</f>
        <v/>
      </c>
    </row>
    <row r="353">
      <c r="A353" s="9" t="inlineStr">
        <is>
          <t>DF-100251</t>
        </is>
      </c>
      <c r="B353" s="9" t="inlineStr">
        <is>
          <t>Engineering</t>
        </is>
      </c>
      <c r="C353" s="9" t="inlineStr">
        <is>
          <t>L5 - Manager</t>
        </is>
      </c>
      <c r="D353" s="10" t="n">
        <v>138500</v>
      </c>
      <c r="E353" s="11" t="n">
        <v>20.6</v>
      </c>
      <c r="F353" s="12">
        <f>E353/100</f>
        <v/>
      </c>
      <c r="G353" s="9" t="inlineStr">
        <is>
          <t>No</t>
        </is>
      </c>
      <c r="H353" s="13">
        <f>VLOOKUP(C353,Assumptions!$A$10:$B$15,2,FALSE)</f>
        <v/>
      </c>
      <c r="I353" s="14">
        <f>D353*H353</f>
        <v/>
      </c>
      <c r="J353" s="12">
        <f>1-(1-F353)^(Assumptions!$B$4/12)</f>
        <v/>
      </c>
      <c r="K353" s="14">
        <f>J353*I353</f>
        <v/>
      </c>
      <c r="L353" s="14">
        <f>IF(G353="Yes",(1-(1-F353*(1-Assumptions!$B$6))^(Assumptions!$B$4/12))*I353,K353)</f>
        <v/>
      </c>
    </row>
    <row r="354">
      <c r="A354" s="9" t="inlineStr">
        <is>
          <t>DF-100361</t>
        </is>
      </c>
      <c r="B354" s="9" t="inlineStr">
        <is>
          <t>Operations</t>
        </is>
      </c>
      <c r="C354" s="9" t="inlineStr">
        <is>
          <t>L2 - Mid</t>
        </is>
      </c>
      <c r="D354" s="10" t="n">
        <v>59070</v>
      </c>
      <c r="E354" s="11" t="n">
        <v>20.5</v>
      </c>
      <c r="F354" s="12">
        <f>E354/100</f>
        <v/>
      </c>
      <c r="G354" s="9" t="inlineStr">
        <is>
          <t>No</t>
        </is>
      </c>
      <c r="H354" s="13">
        <f>VLOOKUP(C354,Assumptions!$A$10:$B$15,2,FALSE)</f>
        <v/>
      </c>
      <c r="I354" s="14">
        <f>D354*H354</f>
        <v/>
      </c>
      <c r="J354" s="12">
        <f>1-(1-F354)^(Assumptions!$B$4/12)</f>
        <v/>
      </c>
      <c r="K354" s="14">
        <f>J354*I354</f>
        <v/>
      </c>
      <c r="L354" s="14">
        <f>IF(G354="Yes",(1-(1-F354*(1-Assumptions!$B$6))^(Assumptions!$B$4/12))*I354,K354)</f>
        <v/>
      </c>
    </row>
    <row r="355">
      <c r="A355" s="9" t="inlineStr">
        <is>
          <t>DF-100323</t>
        </is>
      </c>
      <c r="B355" s="9" t="inlineStr">
        <is>
          <t>Finance</t>
        </is>
      </c>
      <c r="C355" s="9" t="inlineStr">
        <is>
          <t>L3 - Senior</t>
        </is>
      </c>
      <c r="D355" s="10" t="n">
        <v>87654</v>
      </c>
      <c r="E355" s="11" t="n">
        <v>20.5</v>
      </c>
      <c r="F355" s="12">
        <f>E355/100</f>
        <v/>
      </c>
      <c r="G355" s="9" t="inlineStr">
        <is>
          <t>No</t>
        </is>
      </c>
      <c r="H355" s="13">
        <f>VLOOKUP(C355,Assumptions!$A$10:$B$15,2,FALSE)</f>
        <v/>
      </c>
      <c r="I355" s="14">
        <f>D355*H355</f>
        <v/>
      </c>
      <c r="J355" s="12">
        <f>1-(1-F355)^(Assumptions!$B$4/12)</f>
        <v/>
      </c>
      <c r="K355" s="14">
        <f>J355*I355</f>
        <v/>
      </c>
      <c r="L355" s="14">
        <f>IF(G355="Yes",(1-(1-F355*(1-Assumptions!$B$6))^(Assumptions!$B$4/12))*I355,K355)</f>
        <v/>
      </c>
    </row>
    <row r="356">
      <c r="A356" s="9" t="inlineStr">
        <is>
          <t>DF-100411</t>
        </is>
      </c>
      <c r="B356" s="9" t="inlineStr">
        <is>
          <t>Operations</t>
        </is>
      </c>
      <c r="C356" s="9" t="inlineStr">
        <is>
          <t>L3 - Senior</t>
        </is>
      </c>
      <c r="D356" s="10" t="n">
        <v>81842</v>
      </c>
      <c r="E356" s="11" t="n">
        <v>20.3</v>
      </c>
      <c r="F356" s="12">
        <f>E356/100</f>
        <v/>
      </c>
      <c r="G356" s="9" t="inlineStr">
        <is>
          <t>No</t>
        </is>
      </c>
      <c r="H356" s="13">
        <f>VLOOKUP(C356,Assumptions!$A$10:$B$15,2,FALSE)</f>
        <v/>
      </c>
      <c r="I356" s="14">
        <f>D356*H356</f>
        <v/>
      </c>
      <c r="J356" s="12">
        <f>1-(1-F356)^(Assumptions!$B$4/12)</f>
        <v/>
      </c>
      <c r="K356" s="14">
        <f>J356*I356</f>
        <v/>
      </c>
      <c r="L356" s="14">
        <f>IF(G356="Yes",(1-(1-F356*(1-Assumptions!$B$6))^(Assumptions!$B$4/12))*I356,K356)</f>
        <v/>
      </c>
    </row>
    <row r="357">
      <c r="A357" s="9" t="inlineStr">
        <is>
          <t>DF-100050</t>
        </is>
      </c>
      <c r="B357" s="9" t="inlineStr">
        <is>
          <t>Engineering</t>
        </is>
      </c>
      <c r="C357" s="9" t="inlineStr">
        <is>
          <t>L2 - Mid</t>
        </is>
      </c>
      <c r="D357" s="10" t="n">
        <v>85101</v>
      </c>
      <c r="E357" s="11" t="n">
        <v>20.1</v>
      </c>
      <c r="F357" s="12">
        <f>E357/100</f>
        <v/>
      </c>
      <c r="G357" s="9" t="inlineStr">
        <is>
          <t>No</t>
        </is>
      </c>
      <c r="H357" s="13">
        <f>VLOOKUP(C357,Assumptions!$A$10:$B$15,2,FALSE)</f>
        <v/>
      </c>
      <c r="I357" s="14">
        <f>D357*H357</f>
        <v/>
      </c>
      <c r="J357" s="12">
        <f>1-(1-F357)^(Assumptions!$B$4/12)</f>
        <v/>
      </c>
      <c r="K357" s="14">
        <f>J357*I357</f>
        <v/>
      </c>
      <c r="L357" s="14">
        <f>IF(G357="Yes",(1-(1-F357*(1-Assumptions!$B$6))^(Assumptions!$B$4/12))*I357,K357)</f>
        <v/>
      </c>
    </row>
    <row r="358">
      <c r="A358" s="9" t="inlineStr">
        <is>
          <t>DF-100430</t>
        </is>
      </c>
      <c r="B358" s="9" t="inlineStr">
        <is>
          <t>Customer Success</t>
        </is>
      </c>
      <c r="C358" s="9" t="inlineStr">
        <is>
          <t>L2 - Mid</t>
        </is>
      </c>
      <c r="D358" s="10" t="n">
        <v>64939</v>
      </c>
      <c r="E358" s="11" t="n">
        <v>20</v>
      </c>
      <c r="F358" s="12">
        <f>E358/100</f>
        <v/>
      </c>
      <c r="G358" s="9" t="inlineStr">
        <is>
          <t>No</t>
        </is>
      </c>
      <c r="H358" s="13">
        <f>VLOOKUP(C358,Assumptions!$A$10:$B$15,2,FALSE)</f>
        <v/>
      </c>
      <c r="I358" s="14">
        <f>D358*H358</f>
        <v/>
      </c>
      <c r="J358" s="12">
        <f>1-(1-F358)^(Assumptions!$B$4/12)</f>
        <v/>
      </c>
      <c r="K358" s="14">
        <f>J358*I358</f>
        <v/>
      </c>
      <c r="L358" s="14">
        <f>IF(G358="Yes",(1-(1-F358*(1-Assumptions!$B$6))^(Assumptions!$B$4/12))*I358,K358)</f>
        <v/>
      </c>
    </row>
    <row r="359">
      <c r="A359" s="9" t="inlineStr">
        <is>
          <t>DF-100507</t>
        </is>
      </c>
      <c r="B359" s="9" t="inlineStr">
        <is>
          <t>Product</t>
        </is>
      </c>
      <c r="C359" s="9" t="inlineStr">
        <is>
          <t>L2 - Mid</t>
        </is>
      </c>
      <c r="D359" s="10" t="n">
        <v>110387</v>
      </c>
      <c r="E359" s="11" t="n">
        <v>19.9</v>
      </c>
      <c r="F359" s="12">
        <f>E359/100</f>
        <v/>
      </c>
      <c r="G359" s="9" t="inlineStr">
        <is>
          <t>No</t>
        </is>
      </c>
      <c r="H359" s="13">
        <f>VLOOKUP(C359,Assumptions!$A$10:$B$15,2,FALSE)</f>
        <v/>
      </c>
      <c r="I359" s="14">
        <f>D359*H359</f>
        <v/>
      </c>
      <c r="J359" s="12">
        <f>1-(1-F359)^(Assumptions!$B$4/12)</f>
        <v/>
      </c>
      <c r="K359" s="14">
        <f>J359*I359</f>
        <v/>
      </c>
      <c r="L359" s="14">
        <f>IF(G359="Yes",(1-(1-F359*(1-Assumptions!$B$6))^(Assumptions!$B$4/12))*I359,K359)</f>
        <v/>
      </c>
    </row>
    <row r="360">
      <c r="A360" s="9" t="inlineStr">
        <is>
          <t>DF-100238</t>
        </is>
      </c>
      <c r="B360" s="9" t="inlineStr">
        <is>
          <t>Finance</t>
        </is>
      </c>
      <c r="C360" s="9" t="inlineStr">
        <is>
          <t>L3 - Senior</t>
        </is>
      </c>
      <c r="D360" s="10" t="n">
        <v>100248</v>
      </c>
      <c r="E360" s="11" t="n">
        <v>19.9</v>
      </c>
      <c r="F360" s="12">
        <f>E360/100</f>
        <v/>
      </c>
      <c r="G360" s="9" t="inlineStr">
        <is>
          <t>No</t>
        </is>
      </c>
      <c r="H360" s="13">
        <f>VLOOKUP(C360,Assumptions!$A$10:$B$15,2,FALSE)</f>
        <v/>
      </c>
      <c r="I360" s="14">
        <f>D360*H360</f>
        <v/>
      </c>
      <c r="J360" s="12">
        <f>1-(1-F360)^(Assumptions!$B$4/12)</f>
        <v/>
      </c>
      <c r="K360" s="14">
        <f>J360*I360</f>
        <v/>
      </c>
      <c r="L360" s="14">
        <f>IF(G360="Yes",(1-(1-F360*(1-Assumptions!$B$6))^(Assumptions!$B$4/12))*I360,K360)</f>
        <v/>
      </c>
    </row>
    <row r="361">
      <c r="A361" s="9" t="inlineStr">
        <is>
          <t>DF-100134</t>
        </is>
      </c>
      <c r="B361" s="9" t="inlineStr">
        <is>
          <t>Customer Success</t>
        </is>
      </c>
      <c r="C361" s="9" t="inlineStr">
        <is>
          <t>L1 - Junior</t>
        </is>
      </c>
      <c r="D361" s="10" t="n">
        <v>48847</v>
      </c>
      <c r="E361" s="11" t="n">
        <v>19.8</v>
      </c>
      <c r="F361" s="12">
        <f>E361/100</f>
        <v/>
      </c>
      <c r="G361" s="9" t="inlineStr">
        <is>
          <t>No</t>
        </is>
      </c>
      <c r="H361" s="13">
        <f>VLOOKUP(C361,Assumptions!$A$10:$B$15,2,FALSE)</f>
        <v/>
      </c>
      <c r="I361" s="14">
        <f>D361*H361</f>
        <v/>
      </c>
      <c r="J361" s="12">
        <f>1-(1-F361)^(Assumptions!$B$4/12)</f>
        <v/>
      </c>
      <c r="K361" s="14">
        <f>J361*I361</f>
        <v/>
      </c>
      <c r="L361" s="14">
        <f>IF(G361="Yes",(1-(1-F361*(1-Assumptions!$B$6))^(Assumptions!$B$4/12))*I361,K361)</f>
        <v/>
      </c>
    </row>
    <row r="362">
      <c r="A362" s="9" t="inlineStr">
        <is>
          <t>DF-100643</t>
        </is>
      </c>
      <c r="B362" s="9" t="inlineStr">
        <is>
          <t>Finance</t>
        </is>
      </c>
      <c r="C362" s="9" t="inlineStr">
        <is>
          <t>L5 - Manager</t>
        </is>
      </c>
      <c r="D362" s="10" t="n">
        <v>153594</v>
      </c>
      <c r="E362" s="11" t="n">
        <v>19.7</v>
      </c>
      <c r="F362" s="12">
        <f>E362/100</f>
        <v/>
      </c>
      <c r="G362" s="9" t="inlineStr">
        <is>
          <t>No</t>
        </is>
      </c>
      <c r="H362" s="13">
        <f>VLOOKUP(C362,Assumptions!$A$10:$B$15,2,FALSE)</f>
        <v/>
      </c>
      <c r="I362" s="14">
        <f>D362*H362</f>
        <v/>
      </c>
      <c r="J362" s="12">
        <f>1-(1-F362)^(Assumptions!$B$4/12)</f>
        <v/>
      </c>
      <c r="K362" s="14">
        <f>J362*I362</f>
        <v/>
      </c>
      <c r="L362" s="14">
        <f>IF(G362="Yes",(1-(1-F362*(1-Assumptions!$B$6))^(Assumptions!$B$4/12))*I362,K362)</f>
        <v/>
      </c>
    </row>
    <row r="363">
      <c r="A363" s="9" t="inlineStr">
        <is>
          <t>DF-100525</t>
        </is>
      </c>
      <c r="B363" s="9" t="inlineStr">
        <is>
          <t>Support</t>
        </is>
      </c>
      <c r="C363" s="9" t="inlineStr">
        <is>
          <t>L1 - Junior</t>
        </is>
      </c>
      <c r="D363" s="10" t="n">
        <v>39752</v>
      </c>
      <c r="E363" s="11" t="n">
        <v>19.7</v>
      </c>
      <c r="F363" s="12">
        <f>E363/100</f>
        <v/>
      </c>
      <c r="G363" s="9" t="inlineStr">
        <is>
          <t>No</t>
        </is>
      </c>
      <c r="H363" s="13">
        <f>VLOOKUP(C363,Assumptions!$A$10:$B$15,2,FALSE)</f>
        <v/>
      </c>
      <c r="I363" s="14">
        <f>D363*H363</f>
        <v/>
      </c>
      <c r="J363" s="12">
        <f>1-(1-F363)^(Assumptions!$B$4/12)</f>
        <v/>
      </c>
      <c r="K363" s="14">
        <f>J363*I363</f>
        <v/>
      </c>
      <c r="L363" s="14">
        <f>IF(G363="Yes",(1-(1-F363*(1-Assumptions!$B$6))^(Assumptions!$B$4/12))*I363,K363)</f>
        <v/>
      </c>
    </row>
    <row r="364">
      <c r="A364" s="9" t="inlineStr">
        <is>
          <t>DF-100499</t>
        </is>
      </c>
      <c r="B364" s="9" t="inlineStr">
        <is>
          <t>Support</t>
        </is>
      </c>
      <c r="C364" s="9" t="inlineStr">
        <is>
          <t>L2 - Mid</t>
        </is>
      </c>
      <c r="D364" s="10" t="n">
        <v>56402</v>
      </c>
      <c r="E364" s="11" t="n">
        <v>19.6</v>
      </c>
      <c r="F364" s="12">
        <f>E364/100</f>
        <v/>
      </c>
      <c r="G364" s="9" t="inlineStr">
        <is>
          <t>No</t>
        </is>
      </c>
      <c r="H364" s="13">
        <f>VLOOKUP(C364,Assumptions!$A$10:$B$15,2,FALSE)</f>
        <v/>
      </c>
      <c r="I364" s="14">
        <f>D364*H364</f>
        <v/>
      </c>
      <c r="J364" s="12">
        <f>1-(1-F364)^(Assumptions!$B$4/12)</f>
        <v/>
      </c>
      <c r="K364" s="14">
        <f>J364*I364</f>
        <v/>
      </c>
      <c r="L364" s="14">
        <f>IF(G364="Yes",(1-(1-F364*(1-Assumptions!$B$6))^(Assumptions!$B$4/12))*I364,K364)</f>
        <v/>
      </c>
    </row>
    <row r="365">
      <c r="A365" s="9" t="inlineStr">
        <is>
          <t>DF-100293</t>
        </is>
      </c>
      <c r="B365" s="9" t="inlineStr">
        <is>
          <t>Sales</t>
        </is>
      </c>
      <c r="C365" s="9" t="inlineStr">
        <is>
          <t>L2 - Mid</t>
        </is>
      </c>
      <c r="D365" s="10" t="n">
        <v>86798</v>
      </c>
      <c r="E365" s="11" t="n">
        <v>19.2</v>
      </c>
      <c r="F365" s="12">
        <f>E365/100</f>
        <v/>
      </c>
      <c r="G365" s="9" t="inlineStr">
        <is>
          <t>No</t>
        </is>
      </c>
      <c r="H365" s="13">
        <f>VLOOKUP(C365,Assumptions!$A$10:$B$15,2,FALSE)</f>
        <v/>
      </c>
      <c r="I365" s="14">
        <f>D365*H365</f>
        <v/>
      </c>
      <c r="J365" s="12">
        <f>1-(1-F365)^(Assumptions!$B$4/12)</f>
        <v/>
      </c>
      <c r="K365" s="14">
        <f>J365*I365</f>
        <v/>
      </c>
      <c r="L365" s="14">
        <f>IF(G365="Yes",(1-(1-F365*(1-Assumptions!$B$6))^(Assumptions!$B$4/12))*I365,K365)</f>
        <v/>
      </c>
    </row>
    <row r="366">
      <c r="A366" s="9" t="inlineStr">
        <is>
          <t>DF-100585</t>
        </is>
      </c>
      <c r="B366" s="9" t="inlineStr">
        <is>
          <t>People/HR</t>
        </is>
      </c>
      <c r="C366" s="9" t="inlineStr">
        <is>
          <t>L1 - Junior</t>
        </is>
      </c>
      <c r="D366" s="10" t="n">
        <v>52373</v>
      </c>
      <c r="E366" s="11" t="n">
        <v>19.1</v>
      </c>
      <c r="F366" s="12">
        <f>E366/100</f>
        <v/>
      </c>
      <c r="G366" s="9" t="inlineStr">
        <is>
          <t>No</t>
        </is>
      </c>
      <c r="H366" s="13">
        <f>VLOOKUP(C366,Assumptions!$A$10:$B$15,2,FALSE)</f>
        <v/>
      </c>
      <c r="I366" s="14">
        <f>D366*H366</f>
        <v/>
      </c>
      <c r="J366" s="12">
        <f>1-(1-F366)^(Assumptions!$B$4/12)</f>
        <v/>
      </c>
      <c r="K366" s="14">
        <f>J366*I366</f>
        <v/>
      </c>
      <c r="L366" s="14">
        <f>IF(G366="Yes",(1-(1-F366*(1-Assumptions!$B$6))^(Assumptions!$B$4/12))*I366,K366)</f>
        <v/>
      </c>
    </row>
    <row r="367">
      <c r="A367" s="9" t="inlineStr">
        <is>
          <t>DF-100524</t>
        </is>
      </c>
      <c r="B367" s="9" t="inlineStr">
        <is>
          <t>Sales</t>
        </is>
      </c>
      <c r="C367" s="9" t="inlineStr">
        <is>
          <t>L4 - Lead</t>
        </is>
      </c>
      <c r="D367" s="10" t="n">
        <v>134701</v>
      </c>
      <c r="E367" s="11" t="n">
        <v>19.1</v>
      </c>
      <c r="F367" s="12">
        <f>E367/100</f>
        <v/>
      </c>
      <c r="G367" s="9" t="inlineStr">
        <is>
          <t>No</t>
        </is>
      </c>
      <c r="H367" s="13">
        <f>VLOOKUP(C367,Assumptions!$A$10:$B$15,2,FALSE)</f>
        <v/>
      </c>
      <c r="I367" s="14">
        <f>D367*H367</f>
        <v/>
      </c>
      <c r="J367" s="12">
        <f>1-(1-F367)^(Assumptions!$B$4/12)</f>
        <v/>
      </c>
      <c r="K367" s="14">
        <f>J367*I367</f>
        <v/>
      </c>
      <c r="L367" s="14">
        <f>IF(G367="Yes",(1-(1-F367*(1-Assumptions!$B$6))^(Assumptions!$B$4/12))*I367,K367)</f>
        <v/>
      </c>
    </row>
    <row r="368">
      <c r="A368" s="9" t="inlineStr">
        <is>
          <t>DF-100343</t>
        </is>
      </c>
      <c r="B368" s="9" t="inlineStr">
        <is>
          <t>Support</t>
        </is>
      </c>
      <c r="C368" s="9" t="inlineStr">
        <is>
          <t>L5 - Manager</t>
        </is>
      </c>
      <c r="D368" s="10" t="n">
        <v>103303</v>
      </c>
      <c r="E368" s="11" t="n">
        <v>19</v>
      </c>
      <c r="F368" s="12">
        <f>E368/100</f>
        <v/>
      </c>
      <c r="G368" s="9" t="inlineStr">
        <is>
          <t>No</t>
        </is>
      </c>
      <c r="H368" s="13">
        <f>VLOOKUP(C368,Assumptions!$A$10:$B$15,2,FALSE)</f>
        <v/>
      </c>
      <c r="I368" s="14">
        <f>D368*H368</f>
        <v/>
      </c>
      <c r="J368" s="12">
        <f>1-(1-F368)^(Assumptions!$B$4/12)</f>
        <v/>
      </c>
      <c r="K368" s="14">
        <f>J368*I368</f>
        <v/>
      </c>
      <c r="L368" s="14">
        <f>IF(G368="Yes",(1-(1-F368*(1-Assumptions!$B$6))^(Assumptions!$B$4/12))*I368,K368)</f>
        <v/>
      </c>
    </row>
    <row r="369">
      <c r="A369" s="9" t="inlineStr">
        <is>
          <t>DF-100273</t>
        </is>
      </c>
      <c r="B369" s="9" t="inlineStr">
        <is>
          <t>Product</t>
        </is>
      </c>
      <c r="C369" s="9" t="inlineStr">
        <is>
          <t>L3 - Senior</t>
        </is>
      </c>
      <c r="D369" s="10" t="n">
        <v>115739</v>
      </c>
      <c r="E369" s="11" t="n">
        <v>18.8</v>
      </c>
      <c r="F369" s="12">
        <f>E369/100</f>
        <v/>
      </c>
      <c r="G369" s="9" t="inlineStr">
        <is>
          <t>No</t>
        </is>
      </c>
      <c r="H369" s="13">
        <f>VLOOKUP(C369,Assumptions!$A$10:$B$15,2,FALSE)</f>
        <v/>
      </c>
      <c r="I369" s="14">
        <f>D369*H369</f>
        <v/>
      </c>
      <c r="J369" s="12">
        <f>1-(1-F369)^(Assumptions!$B$4/12)</f>
        <v/>
      </c>
      <c r="K369" s="14">
        <f>J369*I369</f>
        <v/>
      </c>
      <c r="L369" s="14">
        <f>IF(G369="Yes",(1-(1-F369*(1-Assumptions!$B$6))^(Assumptions!$B$4/12))*I369,K369)</f>
        <v/>
      </c>
    </row>
    <row r="370">
      <c r="A370" s="9" t="inlineStr">
        <is>
          <t>DF-100431</t>
        </is>
      </c>
      <c r="B370" s="9" t="inlineStr">
        <is>
          <t>Operations</t>
        </is>
      </c>
      <c r="C370" s="9" t="inlineStr">
        <is>
          <t>L3 - Senior</t>
        </is>
      </c>
      <c r="D370" s="10" t="n">
        <v>91187</v>
      </c>
      <c r="E370" s="11" t="n">
        <v>18.8</v>
      </c>
      <c r="F370" s="12">
        <f>E370/100</f>
        <v/>
      </c>
      <c r="G370" s="9" t="inlineStr">
        <is>
          <t>No</t>
        </is>
      </c>
      <c r="H370" s="13">
        <f>VLOOKUP(C370,Assumptions!$A$10:$B$15,2,FALSE)</f>
        <v/>
      </c>
      <c r="I370" s="14">
        <f>D370*H370</f>
        <v/>
      </c>
      <c r="J370" s="12">
        <f>1-(1-F370)^(Assumptions!$B$4/12)</f>
        <v/>
      </c>
      <c r="K370" s="14">
        <f>J370*I370</f>
        <v/>
      </c>
      <c r="L370" s="14">
        <f>IF(G370="Yes",(1-(1-F370*(1-Assumptions!$B$6))^(Assumptions!$B$4/12))*I370,K370)</f>
        <v/>
      </c>
    </row>
    <row r="371">
      <c r="A371" s="9" t="inlineStr">
        <is>
          <t>DF-100436</t>
        </is>
      </c>
      <c r="B371" s="9" t="inlineStr">
        <is>
          <t>People/HR</t>
        </is>
      </c>
      <c r="C371" s="9" t="inlineStr">
        <is>
          <t>L4 - Lead</t>
        </is>
      </c>
      <c r="D371" s="10" t="n">
        <v>113907</v>
      </c>
      <c r="E371" s="11" t="n">
        <v>18.5</v>
      </c>
      <c r="F371" s="12">
        <f>E371/100</f>
        <v/>
      </c>
      <c r="G371" s="9" t="inlineStr">
        <is>
          <t>No</t>
        </is>
      </c>
      <c r="H371" s="13">
        <f>VLOOKUP(C371,Assumptions!$A$10:$B$15,2,FALSE)</f>
        <v/>
      </c>
      <c r="I371" s="14">
        <f>D371*H371</f>
        <v/>
      </c>
      <c r="J371" s="12">
        <f>1-(1-F371)^(Assumptions!$B$4/12)</f>
        <v/>
      </c>
      <c r="K371" s="14">
        <f>J371*I371</f>
        <v/>
      </c>
      <c r="L371" s="14">
        <f>IF(G371="Yes",(1-(1-F371*(1-Assumptions!$B$6))^(Assumptions!$B$4/12))*I371,K371)</f>
        <v/>
      </c>
    </row>
    <row r="372">
      <c r="A372" s="9" t="inlineStr">
        <is>
          <t>DF-100268</t>
        </is>
      </c>
      <c r="B372" s="9" t="inlineStr">
        <is>
          <t>People/HR</t>
        </is>
      </c>
      <c r="C372" s="9" t="inlineStr">
        <is>
          <t>L3 - Senior</t>
        </is>
      </c>
      <c r="D372" s="10" t="n">
        <v>84114</v>
      </c>
      <c r="E372" s="11" t="n">
        <v>18.5</v>
      </c>
      <c r="F372" s="12">
        <f>E372/100</f>
        <v/>
      </c>
      <c r="G372" s="9" t="inlineStr">
        <is>
          <t>No</t>
        </is>
      </c>
      <c r="H372" s="13">
        <f>VLOOKUP(C372,Assumptions!$A$10:$B$15,2,FALSE)</f>
        <v/>
      </c>
      <c r="I372" s="14">
        <f>D372*H372</f>
        <v/>
      </c>
      <c r="J372" s="12">
        <f>1-(1-F372)^(Assumptions!$B$4/12)</f>
        <v/>
      </c>
      <c r="K372" s="14">
        <f>J372*I372</f>
        <v/>
      </c>
      <c r="L372" s="14">
        <f>IF(G372="Yes",(1-(1-F372*(1-Assumptions!$B$6))^(Assumptions!$B$4/12))*I372,K372)</f>
        <v/>
      </c>
    </row>
    <row r="373">
      <c r="A373" s="9" t="inlineStr">
        <is>
          <t>DF-100145</t>
        </is>
      </c>
      <c r="B373" s="9" t="inlineStr">
        <is>
          <t>Operations</t>
        </is>
      </c>
      <c r="C373" s="9" t="inlineStr">
        <is>
          <t>L2 - Mid</t>
        </is>
      </c>
      <c r="D373" s="10" t="n">
        <v>67792</v>
      </c>
      <c r="E373" s="11" t="n">
        <v>18.5</v>
      </c>
      <c r="F373" s="12">
        <f>E373/100</f>
        <v/>
      </c>
      <c r="G373" s="9" t="inlineStr">
        <is>
          <t>No</t>
        </is>
      </c>
      <c r="H373" s="13">
        <f>VLOOKUP(C373,Assumptions!$A$10:$B$15,2,FALSE)</f>
        <v/>
      </c>
      <c r="I373" s="14">
        <f>D373*H373</f>
        <v/>
      </c>
      <c r="J373" s="12">
        <f>1-(1-F373)^(Assumptions!$B$4/12)</f>
        <v/>
      </c>
      <c r="K373" s="14">
        <f>J373*I373</f>
        <v/>
      </c>
      <c r="L373" s="14">
        <f>IF(G373="Yes",(1-(1-F373*(1-Assumptions!$B$6))^(Assumptions!$B$4/12))*I373,K373)</f>
        <v/>
      </c>
    </row>
    <row r="374">
      <c r="A374" s="9" t="inlineStr">
        <is>
          <t>DF-100245</t>
        </is>
      </c>
      <c r="B374" s="9" t="inlineStr">
        <is>
          <t>People/HR</t>
        </is>
      </c>
      <c r="C374" s="9" t="inlineStr">
        <is>
          <t>L3 - Senior</t>
        </is>
      </c>
      <c r="D374" s="10" t="n">
        <v>81038</v>
      </c>
      <c r="E374" s="11" t="n">
        <v>18.4</v>
      </c>
      <c r="F374" s="12">
        <f>E374/100</f>
        <v/>
      </c>
      <c r="G374" s="9" t="inlineStr">
        <is>
          <t>No</t>
        </is>
      </c>
      <c r="H374" s="13">
        <f>VLOOKUP(C374,Assumptions!$A$10:$B$15,2,FALSE)</f>
        <v/>
      </c>
      <c r="I374" s="14">
        <f>D374*H374</f>
        <v/>
      </c>
      <c r="J374" s="12">
        <f>1-(1-F374)^(Assumptions!$B$4/12)</f>
        <v/>
      </c>
      <c r="K374" s="14">
        <f>J374*I374</f>
        <v/>
      </c>
      <c r="L374" s="14">
        <f>IF(G374="Yes",(1-(1-F374*(1-Assumptions!$B$6))^(Assumptions!$B$4/12))*I374,K374)</f>
        <v/>
      </c>
    </row>
    <row r="375">
      <c r="A375" s="9" t="inlineStr">
        <is>
          <t>DF-100267</t>
        </is>
      </c>
      <c r="B375" s="9" t="inlineStr">
        <is>
          <t>Finance</t>
        </is>
      </c>
      <c r="C375" s="9" t="inlineStr">
        <is>
          <t>L3 - Senior</t>
        </is>
      </c>
      <c r="D375" s="10" t="n">
        <v>97055</v>
      </c>
      <c r="E375" s="11" t="n">
        <v>18.3</v>
      </c>
      <c r="F375" s="12">
        <f>E375/100</f>
        <v/>
      </c>
      <c r="G375" s="9" t="inlineStr">
        <is>
          <t>No</t>
        </is>
      </c>
      <c r="H375" s="13">
        <f>VLOOKUP(C375,Assumptions!$A$10:$B$15,2,FALSE)</f>
        <v/>
      </c>
      <c r="I375" s="14">
        <f>D375*H375</f>
        <v/>
      </c>
      <c r="J375" s="12">
        <f>1-(1-F375)^(Assumptions!$B$4/12)</f>
        <v/>
      </c>
      <c r="K375" s="14">
        <f>J375*I375</f>
        <v/>
      </c>
      <c r="L375" s="14">
        <f>IF(G375="Yes",(1-(1-F375*(1-Assumptions!$B$6))^(Assumptions!$B$4/12))*I375,K375)</f>
        <v/>
      </c>
    </row>
    <row r="376">
      <c r="A376" s="9" t="inlineStr">
        <is>
          <t>DF-100418</t>
        </is>
      </c>
      <c r="B376" s="9" t="inlineStr">
        <is>
          <t>People/HR</t>
        </is>
      </c>
      <c r="C376" s="9" t="inlineStr">
        <is>
          <t>L5 - Manager</t>
        </is>
      </c>
      <c r="D376" s="10" t="n">
        <v>146067</v>
      </c>
      <c r="E376" s="11" t="n">
        <v>18.3</v>
      </c>
      <c r="F376" s="12">
        <f>E376/100</f>
        <v/>
      </c>
      <c r="G376" s="9" t="inlineStr">
        <is>
          <t>No</t>
        </is>
      </c>
      <c r="H376" s="13">
        <f>VLOOKUP(C376,Assumptions!$A$10:$B$15,2,FALSE)</f>
        <v/>
      </c>
      <c r="I376" s="14">
        <f>D376*H376</f>
        <v/>
      </c>
      <c r="J376" s="12">
        <f>1-(1-F376)^(Assumptions!$B$4/12)</f>
        <v/>
      </c>
      <c r="K376" s="14">
        <f>J376*I376</f>
        <v/>
      </c>
      <c r="L376" s="14">
        <f>IF(G376="Yes",(1-(1-F376*(1-Assumptions!$B$6))^(Assumptions!$B$4/12))*I376,K376)</f>
        <v/>
      </c>
    </row>
    <row r="377">
      <c r="A377" s="9" t="inlineStr">
        <is>
          <t>DF-100031</t>
        </is>
      </c>
      <c r="B377" s="9" t="inlineStr">
        <is>
          <t>Product</t>
        </is>
      </c>
      <c r="C377" s="9" t="inlineStr">
        <is>
          <t>L2 - Mid</t>
        </is>
      </c>
      <c r="D377" s="10" t="n">
        <v>74774</v>
      </c>
      <c r="E377" s="11" t="n">
        <v>18.3</v>
      </c>
      <c r="F377" s="12">
        <f>E377/100</f>
        <v/>
      </c>
      <c r="G377" s="9" t="inlineStr">
        <is>
          <t>No</t>
        </is>
      </c>
      <c r="H377" s="13">
        <f>VLOOKUP(C377,Assumptions!$A$10:$B$15,2,FALSE)</f>
        <v/>
      </c>
      <c r="I377" s="14">
        <f>D377*H377</f>
        <v/>
      </c>
      <c r="J377" s="12">
        <f>1-(1-F377)^(Assumptions!$B$4/12)</f>
        <v/>
      </c>
      <c r="K377" s="14">
        <f>J377*I377</f>
        <v/>
      </c>
      <c r="L377" s="14">
        <f>IF(G377="Yes",(1-(1-F377*(1-Assumptions!$B$6))^(Assumptions!$B$4/12))*I377,K377)</f>
        <v/>
      </c>
    </row>
    <row r="378">
      <c r="A378" s="9" t="inlineStr">
        <is>
          <t>DF-100516</t>
        </is>
      </c>
      <c r="B378" s="9" t="inlineStr">
        <is>
          <t>Customer Success</t>
        </is>
      </c>
      <c r="C378" s="9" t="inlineStr">
        <is>
          <t>L3 - Senior</t>
        </is>
      </c>
      <c r="D378" s="10" t="n">
        <v>101196</v>
      </c>
      <c r="E378" s="11" t="n">
        <v>18.2</v>
      </c>
      <c r="F378" s="12">
        <f>E378/100</f>
        <v/>
      </c>
      <c r="G378" s="9" t="inlineStr">
        <is>
          <t>No</t>
        </is>
      </c>
      <c r="H378" s="13">
        <f>VLOOKUP(C378,Assumptions!$A$10:$B$15,2,FALSE)</f>
        <v/>
      </c>
      <c r="I378" s="14">
        <f>D378*H378</f>
        <v/>
      </c>
      <c r="J378" s="12">
        <f>1-(1-F378)^(Assumptions!$B$4/12)</f>
        <v/>
      </c>
      <c r="K378" s="14">
        <f>J378*I378</f>
        <v/>
      </c>
      <c r="L378" s="14">
        <f>IF(G378="Yes",(1-(1-F378*(1-Assumptions!$B$6))^(Assumptions!$B$4/12))*I378,K378)</f>
        <v/>
      </c>
    </row>
    <row r="379">
      <c r="A379" s="9" t="inlineStr">
        <is>
          <t>DF-100286</t>
        </is>
      </c>
      <c r="B379" s="9" t="inlineStr">
        <is>
          <t>Marketing</t>
        </is>
      </c>
      <c r="C379" s="9" t="inlineStr">
        <is>
          <t>L3 - Senior</t>
        </is>
      </c>
      <c r="D379" s="10" t="n">
        <v>97222</v>
      </c>
      <c r="E379" s="11" t="n">
        <v>18</v>
      </c>
      <c r="F379" s="12">
        <f>E379/100</f>
        <v/>
      </c>
      <c r="G379" s="9" t="inlineStr">
        <is>
          <t>No</t>
        </is>
      </c>
      <c r="H379" s="13">
        <f>VLOOKUP(C379,Assumptions!$A$10:$B$15,2,FALSE)</f>
        <v/>
      </c>
      <c r="I379" s="14">
        <f>D379*H379</f>
        <v/>
      </c>
      <c r="J379" s="12">
        <f>1-(1-F379)^(Assumptions!$B$4/12)</f>
        <v/>
      </c>
      <c r="K379" s="14">
        <f>J379*I379</f>
        <v/>
      </c>
      <c r="L379" s="14">
        <f>IF(G379="Yes",(1-(1-F379*(1-Assumptions!$B$6))^(Assumptions!$B$4/12))*I379,K379)</f>
        <v/>
      </c>
    </row>
    <row r="380">
      <c r="A380" s="9" t="inlineStr">
        <is>
          <t>DF-100417</t>
        </is>
      </c>
      <c r="B380" s="9" t="inlineStr">
        <is>
          <t>People/HR</t>
        </is>
      </c>
      <c r="C380" s="9" t="inlineStr">
        <is>
          <t>L1 - Junior</t>
        </is>
      </c>
      <c r="D380" s="10" t="n">
        <v>47154</v>
      </c>
      <c r="E380" s="11" t="n">
        <v>18</v>
      </c>
      <c r="F380" s="12">
        <f>E380/100</f>
        <v/>
      </c>
      <c r="G380" s="9" t="inlineStr">
        <is>
          <t>No</t>
        </is>
      </c>
      <c r="H380" s="13">
        <f>VLOOKUP(C380,Assumptions!$A$10:$B$15,2,FALSE)</f>
        <v/>
      </c>
      <c r="I380" s="14">
        <f>D380*H380</f>
        <v/>
      </c>
      <c r="J380" s="12">
        <f>1-(1-F380)^(Assumptions!$B$4/12)</f>
        <v/>
      </c>
      <c r="K380" s="14">
        <f>J380*I380</f>
        <v/>
      </c>
      <c r="L380" s="14">
        <f>IF(G380="Yes",(1-(1-F380*(1-Assumptions!$B$6))^(Assumptions!$B$4/12))*I380,K380)</f>
        <v/>
      </c>
    </row>
    <row r="381">
      <c r="A381" s="9" t="inlineStr">
        <is>
          <t>DF-100339</t>
        </is>
      </c>
      <c r="B381" s="9" t="inlineStr">
        <is>
          <t>Data &amp; Analytics</t>
        </is>
      </c>
      <c r="C381" s="9" t="inlineStr">
        <is>
          <t>L1 - Junior</t>
        </is>
      </c>
      <c r="D381" s="10" t="n">
        <v>62980</v>
      </c>
      <c r="E381" s="11" t="n">
        <v>18</v>
      </c>
      <c r="F381" s="12">
        <f>E381/100</f>
        <v/>
      </c>
      <c r="G381" s="9" t="inlineStr">
        <is>
          <t>No</t>
        </is>
      </c>
      <c r="H381" s="13">
        <f>VLOOKUP(C381,Assumptions!$A$10:$B$15,2,FALSE)</f>
        <v/>
      </c>
      <c r="I381" s="14">
        <f>D381*H381</f>
        <v/>
      </c>
      <c r="J381" s="12">
        <f>1-(1-F381)^(Assumptions!$B$4/12)</f>
        <v/>
      </c>
      <c r="K381" s="14">
        <f>J381*I381</f>
        <v/>
      </c>
      <c r="L381" s="14">
        <f>IF(G381="Yes",(1-(1-F381*(1-Assumptions!$B$6))^(Assumptions!$B$4/12))*I381,K381)</f>
        <v/>
      </c>
    </row>
    <row r="382">
      <c r="A382" s="9" t="inlineStr">
        <is>
          <t>DF-100536</t>
        </is>
      </c>
      <c r="B382" s="9" t="inlineStr">
        <is>
          <t>Finance</t>
        </is>
      </c>
      <c r="C382" s="9" t="inlineStr">
        <is>
          <t>L4 - Lead</t>
        </is>
      </c>
      <c r="D382" s="10" t="n">
        <v>132265</v>
      </c>
      <c r="E382" s="11" t="n">
        <v>18</v>
      </c>
      <c r="F382" s="12">
        <f>E382/100</f>
        <v/>
      </c>
      <c r="G382" s="9" t="inlineStr">
        <is>
          <t>No</t>
        </is>
      </c>
      <c r="H382" s="13">
        <f>VLOOKUP(C382,Assumptions!$A$10:$B$15,2,FALSE)</f>
        <v/>
      </c>
      <c r="I382" s="14">
        <f>D382*H382</f>
        <v/>
      </c>
      <c r="J382" s="12">
        <f>1-(1-F382)^(Assumptions!$B$4/12)</f>
        <v/>
      </c>
      <c r="K382" s="14">
        <f>J382*I382</f>
        <v/>
      </c>
      <c r="L382" s="14">
        <f>IF(G382="Yes",(1-(1-F382*(1-Assumptions!$B$6))^(Assumptions!$B$4/12))*I382,K382)</f>
        <v/>
      </c>
    </row>
    <row r="383">
      <c r="A383" s="9" t="inlineStr">
        <is>
          <t>DF-100651</t>
        </is>
      </c>
      <c r="B383" s="9" t="inlineStr">
        <is>
          <t>Operations</t>
        </is>
      </c>
      <c r="C383" s="9" t="inlineStr">
        <is>
          <t>L3 - Senior</t>
        </is>
      </c>
      <c r="D383" s="10" t="n">
        <v>89665</v>
      </c>
      <c r="E383" s="11" t="n">
        <v>17.9</v>
      </c>
      <c r="F383" s="12">
        <f>E383/100</f>
        <v/>
      </c>
      <c r="G383" s="9" t="inlineStr">
        <is>
          <t>No</t>
        </is>
      </c>
      <c r="H383" s="13">
        <f>VLOOKUP(C383,Assumptions!$A$10:$B$15,2,FALSE)</f>
        <v/>
      </c>
      <c r="I383" s="14">
        <f>D383*H383</f>
        <v/>
      </c>
      <c r="J383" s="12">
        <f>1-(1-F383)^(Assumptions!$B$4/12)</f>
        <v/>
      </c>
      <c r="K383" s="14">
        <f>J383*I383</f>
        <v/>
      </c>
      <c r="L383" s="14">
        <f>IF(G383="Yes",(1-(1-F383*(1-Assumptions!$B$6))^(Assumptions!$B$4/12))*I383,K383)</f>
        <v/>
      </c>
    </row>
    <row r="384">
      <c r="A384" s="9" t="inlineStr">
        <is>
          <t>DF-100400</t>
        </is>
      </c>
      <c r="B384" s="9" t="inlineStr">
        <is>
          <t>Support</t>
        </is>
      </c>
      <c r="C384" s="9" t="inlineStr">
        <is>
          <t>L3 - Senior</t>
        </is>
      </c>
      <c r="D384" s="10" t="n">
        <v>75442</v>
      </c>
      <c r="E384" s="11" t="n">
        <v>17.8</v>
      </c>
      <c r="F384" s="12">
        <f>E384/100</f>
        <v/>
      </c>
      <c r="G384" s="9" t="inlineStr">
        <is>
          <t>No</t>
        </is>
      </c>
      <c r="H384" s="13">
        <f>VLOOKUP(C384,Assumptions!$A$10:$B$15,2,FALSE)</f>
        <v/>
      </c>
      <c r="I384" s="14">
        <f>D384*H384</f>
        <v/>
      </c>
      <c r="J384" s="12">
        <f>1-(1-F384)^(Assumptions!$B$4/12)</f>
        <v/>
      </c>
      <c r="K384" s="14">
        <f>J384*I384</f>
        <v/>
      </c>
      <c r="L384" s="14">
        <f>IF(G384="Yes",(1-(1-F384*(1-Assumptions!$B$6))^(Assumptions!$B$4/12))*I384,K384)</f>
        <v/>
      </c>
    </row>
    <row r="385">
      <c r="A385" s="9" t="inlineStr">
        <is>
          <t>DF-100109</t>
        </is>
      </c>
      <c r="B385" s="9" t="inlineStr">
        <is>
          <t>Customer Success</t>
        </is>
      </c>
      <c r="C385" s="9" t="inlineStr">
        <is>
          <t>L5 - Manager</t>
        </is>
      </c>
      <c r="D385" s="10" t="n">
        <v>161307</v>
      </c>
      <c r="E385" s="11" t="n">
        <v>17.7</v>
      </c>
      <c r="F385" s="12">
        <f>E385/100</f>
        <v/>
      </c>
      <c r="G385" s="9" t="inlineStr">
        <is>
          <t>No</t>
        </is>
      </c>
      <c r="H385" s="13">
        <f>VLOOKUP(C385,Assumptions!$A$10:$B$15,2,FALSE)</f>
        <v/>
      </c>
      <c r="I385" s="14">
        <f>D385*H385</f>
        <v/>
      </c>
      <c r="J385" s="12">
        <f>1-(1-F385)^(Assumptions!$B$4/12)</f>
        <v/>
      </c>
      <c r="K385" s="14">
        <f>J385*I385</f>
        <v/>
      </c>
      <c r="L385" s="14">
        <f>IF(G385="Yes",(1-(1-F385*(1-Assumptions!$B$6))^(Assumptions!$B$4/12))*I385,K385)</f>
        <v/>
      </c>
    </row>
    <row r="386">
      <c r="A386" s="9" t="inlineStr">
        <is>
          <t>DF-100289</t>
        </is>
      </c>
      <c r="B386" s="9" t="inlineStr">
        <is>
          <t>Support</t>
        </is>
      </c>
      <c r="C386" s="9" t="inlineStr">
        <is>
          <t>L2 - Mid</t>
        </is>
      </c>
      <c r="D386" s="10" t="n">
        <v>65526</v>
      </c>
      <c r="E386" s="11" t="n">
        <v>17.4</v>
      </c>
      <c r="F386" s="12">
        <f>E386/100</f>
        <v/>
      </c>
      <c r="G386" s="9" t="inlineStr">
        <is>
          <t>No</t>
        </is>
      </c>
      <c r="H386" s="13">
        <f>VLOOKUP(C386,Assumptions!$A$10:$B$15,2,FALSE)</f>
        <v/>
      </c>
      <c r="I386" s="14">
        <f>D386*H386</f>
        <v/>
      </c>
      <c r="J386" s="12">
        <f>1-(1-F386)^(Assumptions!$B$4/12)</f>
        <v/>
      </c>
      <c r="K386" s="14">
        <f>J386*I386</f>
        <v/>
      </c>
      <c r="L386" s="14">
        <f>IF(G386="Yes",(1-(1-F386*(1-Assumptions!$B$6))^(Assumptions!$B$4/12))*I386,K386)</f>
        <v/>
      </c>
    </row>
    <row r="387">
      <c r="A387" s="9" t="inlineStr">
        <is>
          <t>DF-100366</t>
        </is>
      </c>
      <c r="B387" s="9" t="inlineStr">
        <is>
          <t>Operations</t>
        </is>
      </c>
      <c r="C387" s="9" t="inlineStr">
        <is>
          <t>L2 - Mid</t>
        </is>
      </c>
      <c r="D387" s="10" t="n">
        <v>62660</v>
      </c>
      <c r="E387" s="11" t="n">
        <v>17.4</v>
      </c>
      <c r="F387" s="12">
        <f>E387/100</f>
        <v/>
      </c>
      <c r="G387" s="9" t="inlineStr">
        <is>
          <t>No</t>
        </is>
      </c>
      <c r="H387" s="13">
        <f>VLOOKUP(C387,Assumptions!$A$10:$B$15,2,FALSE)</f>
        <v/>
      </c>
      <c r="I387" s="14">
        <f>D387*H387</f>
        <v/>
      </c>
      <c r="J387" s="12">
        <f>1-(1-F387)^(Assumptions!$B$4/12)</f>
        <v/>
      </c>
      <c r="K387" s="14">
        <f>J387*I387</f>
        <v/>
      </c>
      <c r="L387" s="14">
        <f>IF(G387="Yes",(1-(1-F387*(1-Assumptions!$B$6))^(Assumptions!$B$4/12))*I387,K387)</f>
        <v/>
      </c>
    </row>
    <row r="388">
      <c r="A388" s="9" t="inlineStr">
        <is>
          <t>DF-100433</t>
        </is>
      </c>
      <c r="B388" s="9" t="inlineStr">
        <is>
          <t>Marketing</t>
        </is>
      </c>
      <c r="C388" s="9" t="inlineStr">
        <is>
          <t>L4 - Lead</t>
        </is>
      </c>
      <c r="D388" s="10" t="n">
        <v>119950</v>
      </c>
      <c r="E388" s="11" t="n">
        <v>17.3</v>
      </c>
      <c r="F388" s="12">
        <f>E388/100</f>
        <v/>
      </c>
      <c r="G388" s="9" t="inlineStr">
        <is>
          <t>No</t>
        </is>
      </c>
      <c r="H388" s="13">
        <f>VLOOKUP(C388,Assumptions!$A$10:$B$15,2,FALSE)</f>
        <v/>
      </c>
      <c r="I388" s="14">
        <f>D388*H388</f>
        <v/>
      </c>
      <c r="J388" s="12">
        <f>1-(1-F388)^(Assumptions!$B$4/12)</f>
        <v/>
      </c>
      <c r="K388" s="14">
        <f>J388*I388</f>
        <v/>
      </c>
      <c r="L388" s="14">
        <f>IF(G388="Yes",(1-(1-F388*(1-Assumptions!$B$6))^(Assumptions!$B$4/12))*I388,K388)</f>
        <v/>
      </c>
    </row>
    <row r="389">
      <c r="A389" s="9" t="inlineStr">
        <is>
          <t>DF-100383</t>
        </is>
      </c>
      <c r="B389" s="9" t="inlineStr">
        <is>
          <t>Engineering</t>
        </is>
      </c>
      <c r="C389" s="9" t="inlineStr">
        <is>
          <t>L1 - Junior</t>
        </is>
      </c>
      <c r="D389" s="10" t="n">
        <v>58246</v>
      </c>
      <c r="E389" s="11" t="n">
        <v>17.1</v>
      </c>
      <c r="F389" s="12">
        <f>E389/100</f>
        <v/>
      </c>
      <c r="G389" s="9" t="inlineStr">
        <is>
          <t>No</t>
        </is>
      </c>
      <c r="H389" s="13">
        <f>VLOOKUP(C389,Assumptions!$A$10:$B$15,2,FALSE)</f>
        <v/>
      </c>
      <c r="I389" s="14">
        <f>D389*H389</f>
        <v/>
      </c>
      <c r="J389" s="12">
        <f>1-(1-F389)^(Assumptions!$B$4/12)</f>
        <v/>
      </c>
      <c r="K389" s="14">
        <f>J389*I389</f>
        <v/>
      </c>
      <c r="L389" s="14">
        <f>IF(G389="Yes",(1-(1-F389*(1-Assumptions!$B$6))^(Assumptions!$B$4/12))*I389,K389)</f>
        <v/>
      </c>
    </row>
    <row r="390">
      <c r="A390" s="9" t="inlineStr">
        <is>
          <t>DF-100325</t>
        </is>
      </c>
      <c r="B390" s="9" t="inlineStr">
        <is>
          <t>Marketing</t>
        </is>
      </c>
      <c r="C390" s="9" t="inlineStr">
        <is>
          <t>L2 - Mid</t>
        </is>
      </c>
      <c r="D390" s="10" t="n">
        <v>75321</v>
      </c>
      <c r="E390" s="11" t="n">
        <v>17.1</v>
      </c>
      <c r="F390" s="12">
        <f>E390/100</f>
        <v/>
      </c>
      <c r="G390" s="9" t="inlineStr">
        <is>
          <t>No</t>
        </is>
      </c>
      <c r="H390" s="13">
        <f>VLOOKUP(C390,Assumptions!$A$10:$B$15,2,FALSE)</f>
        <v/>
      </c>
      <c r="I390" s="14">
        <f>D390*H390</f>
        <v/>
      </c>
      <c r="J390" s="12">
        <f>1-(1-F390)^(Assumptions!$B$4/12)</f>
        <v/>
      </c>
      <c r="K390" s="14">
        <f>J390*I390</f>
        <v/>
      </c>
      <c r="L390" s="14">
        <f>IF(G390="Yes",(1-(1-F390*(1-Assumptions!$B$6))^(Assumptions!$B$4/12))*I390,K390)</f>
        <v/>
      </c>
    </row>
    <row r="391">
      <c r="A391" s="9" t="inlineStr">
        <is>
          <t>DF-100363</t>
        </is>
      </c>
      <c r="B391" s="9" t="inlineStr">
        <is>
          <t>Data &amp; Analytics</t>
        </is>
      </c>
      <c r="C391" s="9" t="inlineStr">
        <is>
          <t>L3 - Senior</t>
        </is>
      </c>
      <c r="D391" s="10" t="n">
        <v>88353</v>
      </c>
      <c r="E391" s="11" t="n">
        <v>17</v>
      </c>
      <c r="F391" s="12">
        <f>E391/100</f>
        <v/>
      </c>
      <c r="G391" s="9" t="inlineStr">
        <is>
          <t>No</t>
        </is>
      </c>
      <c r="H391" s="13">
        <f>VLOOKUP(C391,Assumptions!$A$10:$B$15,2,FALSE)</f>
        <v/>
      </c>
      <c r="I391" s="14">
        <f>D391*H391</f>
        <v/>
      </c>
      <c r="J391" s="12">
        <f>1-(1-F391)^(Assumptions!$B$4/12)</f>
        <v/>
      </c>
      <c r="K391" s="14">
        <f>J391*I391</f>
        <v/>
      </c>
      <c r="L391" s="14">
        <f>IF(G391="Yes",(1-(1-F391*(1-Assumptions!$B$6))^(Assumptions!$B$4/12))*I391,K391)</f>
        <v/>
      </c>
    </row>
    <row r="392">
      <c r="A392" s="9" t="inlineStr">
        <is>
          <t>DF-100276</t>
        </is>
      </c>
      <c r="B392" s="9" t="inlineStr">
        <is>
          <t>Data &amp; Analytics</t>
        </is>
      </c>
      <c r="C392" s="9" t="inlineStr">
        <is>
          <t>L5 - Manager</t>
        </is>
      </c>
      <c r="D392" s="10" t="n">
        <v>186206</v>
      </c>
      <c r="E392" s="11" t="n">
        <v>16.9</v>
      </c>
      <c r="F392" s="12">
        <f>E392/100</f>
        <v/>
      </c>
      <c r="G392" s="9" t="inlineStr">
        <is>
          <t>No</t>
        </is>
      </c>
      <c r="H392" s="13">
        <f>VLOOKUP(C392,Assumptions!$A$10:$B$15,2,FALSE)</f>
        <v/>
      </c>
      <c r="I392" s="14">
        <f>D392*H392</f>
        <v/>
      </c>
      <c r="J392" s="12">
        <f>1-(1-F392)^(Assumptions!$B$4/12)</f>
        <v/>
      </c>
      <c r="K392" s="14">
        <f>J392*I392</f>
        <v/>
      </c>
      <c r="L392" s="14">
        <f>IF(G392="Yes",(1-(1-F392*(1-Assumptions!$B$6))^(Assumptions!$B$4/12))*I392,K392)</f>
        <v/>
      </c>
    </row>
    <row r="393">
      <c r="A393" s="9" t="inlineStr">
        <is>
          <t>DF-100295</t>
        </is>
      </c>
      <c r="B393" s="9" t="inlineStr">
        <is>
          <t>Support</t>
        </is>
      </c>
      <c r="C393" s="9" t="inlineStr">
        <is>
          <t>L2 - Mid</t>
        </is>
      </c>
      <c r="D393" s="10" t="n">
        <v>60243</v>
      </c>
      <c r="E393" s="11" t="n">
        <v>16.7</v>
      </c>
      <c r="F393" s="12">
        <f>E393/100</f>
        <v/>
      </c>
      <c r="G393" s="9" t="inlineStr">
        <is>
          <t>No</t>
        </is>
      </c>
      <c r="H393" s="13">
        <f>VLOOKUP(C393,Assumptions!$A$10:$B$15,2,FALSE)</f>
        <v/>
      </c>
      <c r="I393" s="14">
        <f>D393*H393</f>
        <v/>
      </c>
      <c r="J393" s="12">
        <f>1-(1-F393)^(Assumptions!$B$4/12)</f>
        <v/>
      </c>
      <c r="K393" s="14">
        <f>J393*I393</f>
        <v/>
      </c>
      <c r="L393" s="14">
        <f>IF(G393="Yes",(1-(1-F393*(1-Assumptions!$B$6))^(Assumptions!$B$4/12))*I393,K393)</f>
        <v/>
      </c>
    </row>
    <row r="394">
      <c r="A394" s="9" t="inlineStr">
        <is>
          <t>DF-100133</t>
        </is>
      </c>
      <c r="B394" s="9" t="inlineStr">
        <is>
          <t>People/HR</t>
        </is>
      </c>
      <c r="C394" s="9" t="inlineStr">
        <is>
          <t>L3 - Senior</t>
        </is>
      </c>
      <c r="D394" s="10" t="n">
        <v>89453</v>
      </c>
      <c r="E394" s="11" t="n">
        <v>16.7</v>
      </c>
      <c r="F394" s="12">
        <f>E394/100</f>
        <v/>
      </c>
      <c r="G394" s="9" t="inlineStr">
        <is>
          <t>No</t>
        </is>
      </c>
      <c r="H394" s="13">
        <f>VLOOKUP(C394,Assumptions!$A$10:$B$15,2,FALSE)</f>
        <v/>
      </c>
      <c r="I394" s="14">
        <f>D394*H394</f>
        <v/>
      </c>
      <c r="J394" s="12">
        <f>1-(1-F394)^(Assumptions!$B$4/12)</f>
        <v/>
      </c>
      <c r="K394" s="14">
        <f>J394*I394</f>
        <v/>
      </c>
      <c r="L394" s="14">
        <f>IF(G394="Yes",(1-(1-F394*(1-Assumptions!$B$6))^(Assumptions!$B$4/12))*I394,K394)</f>
        <v/>
      </c>
    </row>
    <row r="395">
      <c r="A395" s="9" t="inlineStr">
        <is>
          <t>DF-100234</t>
        </is>
      </c>
      <c r="B395" s="9" t="inlineStr">
        <is>
          <t>Support</t>
        </is>
      </c>
      <c r="C395" s="9" t="inlineStr">
        <is>
          <t>L2 - Mid</t>
        </is>
      </c>
      <c r="D395" s="10" t="n">
        <v>57224</v>
      </c>
      <c r="E395" s="11" t="n">
        <v>16.7</v>
      </c>
      <c r="F395" s="12">
        <f>E395/100</f>
        <v/>
      </c>
      <c r="G395" s="9" t="inlineStr">
        <is>
          <t>No</t>
        </is>
      </c>
      <c r="H395" s="13">
        <f>VLOOKUP(C395,Assumptions!$A$10:$B$15,2,FALSE)</f>
        <v/>
      </c>
      <c r="I395" s="14">
        <f>D395*H395</f>
        <v/>
      </c>
      <c r="J395" s="12">
        <f>1-(1-F395)^(Assumptions!$B$4/12)</f>
        <v/>
      </c>
      <c r="K395" s="14">
        <f>J395*I395</f>
        <v/>
      </c>
      <c r="L395" s="14">
        <f>IF(G395="Yes",(1-(1-F395*(1-Assumptions!$B$6))^(Assumptions!$B$4/12))*I395,K395)</f>
        <v/>
      </c>
    </row>
    <row r="396">
      <c r="A396" s="9" t="inlineStr">
        <is>
          <t>DF-100344</t>
        </is>
      </c>
      <c r="B396" s="9" t="inlineStr">
        <is>
          <t>Support</t>
        </is>
      </c>
      <c r="C396" s="9" t="inlineStr">
        <is>
          <t>L1 - Junior</t>
        </is>
      </c>
      <c r="D396" s="10" t="n">
        <v>48382</v>
      </c>
      <c r="E396" s="11" t="n">
        <v>16.5</v>
      </c>
      <c r="F396" s="12">
        <f>E396/100</f>
        <v/>
      </c>
      <c r="G396" s="9" t="inlineStr">
        <is>
          <t>No</t>
        </is>
      </c>
      <c r="H396" s="13">
        <f>VLOOKUP(C396,Assumptions!$A$10:$B$15,2,FALSE)</f>
        <v/>
      </c>
      <c r="I396" s="14">
        <f>D396*H396</f>
        <v/>
      </c>
      <c r="J396" s="12">
        <f>1-(1-F396)^(Assumptions!$B$4/12)</f>
        <v/>
      </c>
      <c r="K396" s="14">
        <f>J396*I396</f>
        <v/>
      </c>
      <c r="L396" s="14">
        <f>IF(G396="Yes",(1-(1-F396*(1-Assumptions!$B$6))^(Assumptions!$B$4/12))*I396,K396)</f>
        <v/>
      </c>
    </row>
    <row r="397">
      <c r="A397" s="9" t="inlineStr">
        <is>
          <t>DF-100449</t>
        </is>
      </c>
      <c r="B397" s="9" t="inlineStr">
        <is>
          <t>Engineering</t>
        </is>
      </c>
      <c r="C397" s="9" t="inlineStr">
        <is>
          <t>L1 - Junior</t>
        </is>
      </c>
      <c r="D397" s="10" t="n">
        <v>51480</v>
      </c>
      <c r="E397" s="11" t="n">
        <v>16.4</v>
      </c>
      <c r="F397" s="12">
        <f>E397/100</f>
        <v/>
      </c>
      <c r="G397" s="9" t="inlineStr">
        <is>
          <t>No</t>
        </is>
      </c>
      <c r="H397" s="13">
        <f>VLOOKUP(C397,Assumptions!$A$10:$B$15,2,FALSE)</f>
        <v/>
      </c>
      <c r="I397" s="14">
        <f>D397*H397</f>
        <v/>
      </c>
      <c r="J397" s="12">
        <f>1-(1-F397)^(Assumptions!$B$4/12)</f>
        <v/>
      </c>
      <c r="K397" s="14">
        <f>J397*I397</f>
        <v/>
      </c>
      <c r="L397" s="14">
        <f>IF(G397="Yes",(1-(1-F397*(1-Assumptions!$B$6))^(Assumptions!$B$4/12))*I397,K397)</f>
        <v/>
      </c>
    </row>
    <row r="398">
      <c r="A398" s="9" t="inlineStr">
        <is>
          <t>DF-100406</t>
        </is>
      </c>
      <c r="B398" s="9" t="inlineStr">
        <is>
          <t>Data &amp; Analytics</t>
        </is>
      </c>
      <c r="C398" s="9" t="inlineStr">
        <is>
          <t>L3 - Senior</t>
        </is>
      </c>
      <c r="D398" s="10" t="n">
        <v>105947</v>
      </c>
      <c r="E398" s="11" t="n">
        <v>16.1</v>
      </c>
      <c r="F398" s="12">
        <f>E398/100</f>
        <v/>
      </c>
      <c r="G398" s="9" t="inlineStr">
        <is>
          <t>No</t>
        </is>
      </c>
      <c r="H398" s="13">
        <f>VLOOKUP(C398,Assumptions!$A$10:$B$15,2,FALSE)</f>
        <v/>
      </c>
      <c r="I398" s="14">
        <f>D398*H398</f>
        <v/>
      </c>
      <c r="J398" s="12">
        <f>1-(1-F398)^(Assumptions!$B$4/12)</f>
        <v/>
      </c>
      <c r="K398" s="14">
        <f>J398*I398</f>
        <v/>
      </c>
      <c r="L398" s="14">
        <f>IF(G398="Yes",(1-(1-F398*(1-Assumptions!$B$6))^(Assumptions!$B$4/12))*I398,K398)</f>
        <v/>
      </c>
    </row>
    <row r="399">
      <c r="A399" s="9" t="inlineStr">
        <is>
          <t>DF-100540</t>
        </is>
      </c>
      <c r="B399" s="9" t="inlineStr">
        <is>
          <t>Operations</t>
        </is>
      </c>
      <c r="C399" s="9" t="inlineStr">
        <is>
          <t>L2 - Mid</t>
        </is>
      </c>
      <c r="D399" s="10" t="n">
        <v>69876</v>
      </c>
      <c r="E399" s="11" t="n">
        <v>16</v>
      </c>
      <c r="F399" s="12">
        <f>E399/100</f>
        <v/>
      </c>
      <c r="G399" s="9" t="inlineStr">
        <is>
          <t>No</t>
        </is>
      </c>
      <c r="H399" s="13">
        <f>VLOOKUP(C399,Assumptions!$A$10:$B$15,2,FALSE)</f>
        <v/>
      </c>
      <c r="I399" s="14">
        <f>D399*H399</f>
        <v/>
      </c>
      <c r="J399" s="12">
        <f>1-(1-F399)^(Assumptions!$B$4/12)</f>
        <v/>
      </c>
      <c r="K399" s="14">
        <f>J399*I399</f>
        <v/>
      </c>
      <c r="L399" s="14">
        <f>IF(G399="Yes",(1-(1-F399*(1-Assumptions!$B$6))^(Assumptions!$B$4/12))*I399,K399)</f>
        <v/>
      </c>
    </row>
    <row r="400">
      <c r="A400" s="9" t="inlineStr">
        <is>
          <t>DF-100266</t>
        </is>
      </c>
      <c r="B400" s="9" t="inlineStr">
        <is>
          <t>Support</t>
        </is>
      </c>
      <c r="C400" s="9" t="inlineStr">
        <is>
          <t>L3 - Senior</t>
        </is>
      </c>
      <c r="D400" s="10" t="n">
        <v>89067</v>
      </c>
      <c r="E400" s="11" t="n">
        <v>16</v>
      </c>
      <c r="F400" s="12">
        <f>E400/100</f>
        <v/>
      </c>
      <c r="G400" s="9" t="inlineStr">
        <is>
          <t>No</t>
        </is>
      </c>
      <c r="H400" s="13">
        <f>VLOOKUP(C400,Assumptions!$A$10:$B$15,2,FALSE)</f>
        <v/>
      </c>
      <c r="I400" s="14">
        <f>D400*H400</f>
        <v/>
      </c>
      <c r="J400" s="12">
        <f>1-(1-F400)^(Assumptions!$B$4/12)</f>
        <v/>
      </c>
      <c r="K400" s="14">
        <f>J400*I400</f>
        <v/>
      </c>
      <c r="L400" s="14">
        <f>IF(G400="Yes",(1-(1-F400*(1-Assumptions!$B$6))^(Assumptions!$B$4/12))*I400,K400)</f>
        <v/>
      </c>
    </row>
    <row r="401">
      <c r="A401" s="9" t="inlineStr">
        <is>
          <t>DF-100300</t>
        </is>
      </c>
      <c r="B401" s="9" t="inlineStr">
        <is>
          <t>Product</t>
        </is>
      </c>
      <c r="C401" s="9" t="inlineStr">
        <is>
          <t>L2 - Mid</t>
        </is>
      </c>
      <c r="D401" s="10" t="n">
        <v>68201</v>
      </c>
      <c r="E401" s="11" t="n">
        <v>16</v>
      </c>
      <c r="F401" s="12">
        <f>E401/100</f>
        <v/>
      </c>
      <c r="G401" s="9" t="inlineStr">
        <is>
          <t>No</t>
        </is>
      </c>
      <c r="H401" s="13">
        <f>VLOOKUP(C401,Assumptions!$A$10:$B$15,2,FALSE)</f>
        <v/>
      </c>
      <c r="I401" s="14">
        <f>D401*H401</f>
        <v/>
      </c>
      <c r="J401" s="12">
        <f>1-(1-F401)^(Assumptions!$B$4/12)</f>
        <v/>
      </c>
      <c r="K401" s="14">
        <f>J401*I401</f>
        <v/>
      </c>
      <c r="L401" s="14">
        <f>IF(G401="Yes",(1-(1-F401*(1-Assumptions!$B$6))^(Assumptions!$B$4/12))*I401,K401)</f>
        <v/>
      </c>
    </row>
    <row r="402">
      <c r="A402" s="9" t="inlineStr">
        <is>
          <t>DF-100376</t>
        </is>
      </c>
      <c r="B402" s="9" t="inlineStr">
        <is>
          <t>Data &amp; Analytics</t>
        </is>
      </c>
      <c r="C402" s="9" t="inlineStr">
        <is>
          <t>L3 - Senior</t>
        </is>
      </c>
      <c r="D402" s="10" t="n">
        <v>116612</v>
      </c>
      <c r="E402" s="11" t="n">
        <v>15.8</v>
      </c>
      <c r="F402" s="12">
        <f>E402/100</f>
        <v/>
      </c>
      <c r="G402" s="9" t="inlineStr">
        <is>
          <t>No</t>
        </is>
      </c>
      <c r="H402" s="13">
        <f>VLOOKUP(C402,Assumptions!$A$10:$B$15,2,FALSE)</f>
        <v/>
      </c>
      <c r="I402" s="14">
        <f>D402*H402</f>
        <v/>
      </c>
      <c r="J402" s="12">
        <f>1-(1-F402)^(Assumptions!$B$4/12)</f>
        <v/>
      </c>
      <c r="K402" s="14">
        <f>J402*I402</f>
        <v/>
      </c>
      <c r="L402" s="14">
        <f>IF(G402="Yes",(1-(1-F402*(1-Assumptions!$B$6))^(Assumptions!$B$4/12))*I402,K402)</f>
        <v/>
      </c>
    </row>
    <row r="403">
      <c r="A403" s="9" t="inlineStr">
        <is>
          <t>DF-100535</t>
        </is>
      </c>
      <c r="B403" s="9" t="inlineStr">
        <is>
          <t>Engineering</t>
        </is>
      </c>
      <c r="C403" s="9" t="inlineStr">
        <is>
          <t>L2 - Mid</t>
        </is>
      </c>
      <c r="D403" s="10" t="n">
        <v>73619</v>
      </c>
      <c r="E403" s="11" t="n">
        <v>15.7</v>
      </c>
      <c r="F403" s="12">
        <f>E403/100</f>
        <v/>
      </c>
      <c r="G403" s="9" t="inlineStr">
        <is>
          <t>No</t>
        </is>
      </c>
      <c r="H403" s="13">
        <f>VLOOKUP(C403,Assumptions!$A$10:$B$15,2,FALSE)</f>
        <v/>
      </c>
      <c r="I403" s="14">
        <f>D403*H403</f>
        <v/>
      </c>
      <c r="J403" s="12">
        <f>1-(1-F403)^(Assumptions!$B$4/12)</f>
        <v/>
      </c>
      <c r="K403" s="14">
        <f>J403*I403</f>
        <v/>
      </c>
      <c r="L403" s="14">
        <f>IF(G403="Yes",(1-(1-F403*(1-Assumptions!$B$6))^(Assumptions!$B$4/12))*I403,K403)</f>
        <v/>
      </c>
    </row>
    <row r="404">
      <c r="A404" s="9" t="inlineStr">
        <is>
          <t>DF-100114</t>
        </is>
      </c>
      <c r="B404" s="9" t="inlineStr">
        <is>
          <t>Operations</t>
        </is>
      </c>
      <c r="C404" s="9" t="inlineStr">
        <is>
          <t>L5 - Manager</t>
        </is>
      </c>
      <c r="D404" s="10" t="n">
        <v>124403</v>
      </c>
      <c r="E404" s="11" t="n">
        <v>15.7</v>
      </c>
      <c r="F404" s="12">
        <f>E404/100</f>
        <v/>
      </c>
      <c r="G404" s="9" t="inlineStr">
        <is>
          <t>No</t>
        </is>
      </c>
      <c r="H404" s="13">
        <f>VLOOKUP(C404,Assumptions!$A$10:$B$15,2,FALSE)</f>
        <v/>
      </c>
      <c r="I404" s="14">
        <f>D404*H404</f>
        <v/>
      </c>
      <c r="J404" s="12">
        <f>1-(1-F404)^(Assumptions!$B$4/12)</f>
        <v/>
      </c>
      <c r="K404" s="14">
        <f>J404*I404</f>
        <v/>
      </c>
      <c r="L404" s="14">
        <f>IF(G404="Yes",(1-(1-F404*(1-Assumptions!$B$6))^(Assumptions!$B$4/12))*I404,K404)</f>
        <v/>
      </c>
    </row>
    <row r="405">
      <c r="A405" s="9" t="inlineStr">
        <is>
          <t>DF-100301</t>
        </is>
      </c>
      <c r="B405" s="9" t="inlineStr">
        <is>
          <t>Operations</t>
        </is>
      </c>
      <c r="C405" s="9" t="inlineStr">
        <is>
          <t>L2 - Mid</t>
        </is>
      </c>
      <c r="D405" s="10" t="n">
        <v>51615</v>
      </c>
      <c r="E405" s="11" t="n">
        <v>15.7</v>
      </c>
      <c r="F405" s="12">
        <f>E405/100</f>
        <v/>
      </c>
      <c r="G405" s="9" t="inlineStr">
        <is>
          <t>No</t>
        </is>
      </c>
      <c r="H405" s="13">
        <f>VLOOKUP(C405,Assumptions!$A$10:$B$15,2,FALSE)</f>
        <v/>
      </c>
      <c r="I405" s="14">
        <f>D405*H405</f>
        <v/>
      </c>
      <c r="J405" s="12">
        <f>1-(1-F405)^(Assumptions!$B$4/12)</f>
        <v/>
      </c>
      <c r="K405" s="14">
        <f>J405*I405</f>
        <v/>
      </c>
      <c r="L405" s="14">
        <f>IF(G405="Yes",(1-(1-F405*(1-Assumptions!$B$6))^(Assumptions!$B$4/12))*I405,K405)</f>
        <v/>
      </c>
    </row>
    <row r="406">
      <c r="A406" s="9" t="inlineStr">
        <is>
          <t>DF-100560</t>
        </is>
      </c>
      <c r="B406" s="9" t="inlineStr">
        <is>
          <t>Finance</t>
        </is>
      </c>
      <c r="C406" s="9" t="inlineStr">
        <is>
          <t>L1 - Junior</t>
        </is>
      </c>
      <c r="D406" s="10" t="n">
        <v>57707</v>
      </c>
      <c r="E406" s="11" t="n">
        <v>15.6</v>
      </c>
      <c r="F406" s="12">
        <f>E406/100</f>
        <v/>
      </c>
      <c r="G406" s="9" t="inlineStr">
        <is>
          <t>No</t>
        </is>
      </c>
      <c r="H406" s="13">
        <f>VLOOKUP(C406,Assumptions!$A$10:$B$15,2,FALSE)</f>
        <v/>
      </c>
      <c r="I406" s="14">
        <f>D406*H406</f>
        <v/>
      </c>
      <c r="J406" s="12">
        <f>1-(1-F406)^(Assumptions!$B$4/12)</f>
        <v/>
      </c>
      <c r="K406" s="14">
        <f>J406*I406</f>
        <v/>
      </c>
      <c r="L406" s="14">
        <f>IF(G406="Yes",(1-(1-F406*(1-Assumptions!$B$6))^(Assumptions!$B$4/12))*I406,K406)</f>
        <v/>
      </c>
    </row>
    <row r="407">
      <c r="A407" s="9" t="inlineStr">
        <is>
          <t>DF-100198</t>
        </is>
      </c>
      <c r="B407" s="9" t="inlineStr">
        <is>
          <t>Marketing</t>
        </is>
      </c>
      <c r="C407" s="9" t="inlineStr">
        <is>
          <t>L1 - Junior</t>
        </is>
      </c>
      <c r="D407" s="10" t="n">
        <v>57683</v>
      </c>
      <c r="E407" s="11" t="n">
        <v>15.6</v>
      </c>
      <c r="F407" s="12">
        <f>E407/100</f>
        <v/>
      </c>
      <c r="G407" s="9" t="inlineStr">
        <is>
          <t>No</t>
        </is>
      </c>
      <c r="H407" s="13">
        <f>VLOOKUP(C407,Assumptions!$A$10:$B$15,2,FALSE)</f>
        <v/>
      </c>
      <c r="I407" s="14">
        <f>D407*H407</f>
        <v/>
      </c>
      <c r="J407" s="12">
        <f>1-(1-F407)^(Assumptions!$B$4/12)</f>
        <v/>
      </c>
      <c r="K407" s="14">
        <f>J407*I407</f>
        <v/>
      </c>
      <c r="L407" s="14">
        <f>IF(G407="Yes",(1-(1-F407*(1-Assumptions!$B$6))^(Assumptions!$B$4/12))*I407,K407)</f>
        <v/>
      </c>
    </row>
    <row r="408">
      <c r="A408" s="9" t="inlineStr">
        <is>
          <t>DF-100113</t>
        </is>
      </c>
      <c r="B408" s="9" t="inlineStr">
        <is>
          <t>Support</t>
        </is>
      </c>
      <c r="C408" s="9" t="inlineStr">
        <is>
          <t>L1 - Junior</t>
        </is>
      </c>
      <c r="D408" s="10" t="n">
        <v>44956</v>
      </c>
      <c r="E408" s="11" t="n">
        <v>15.5</v>
      </c>
      <c r="F408" s="12">
        <f>E408/100</f>
        <v/>
      </c>
      <c r="G408" s="9" t="inlineStr">
        <is>
          <t>No</t>
        </is>
      </c>
      <c r="H408" s="13">
        <f>VLOOKUP(C408,Assumptions!$A$10:$B$15,2,FALSE)</f>
        <v/>
      </c>
      <c r="I408" s="14">
        <f>D408*H408</f>
        <v/>
      </c>
      <c r="J408" s="12">
        <f>1-(1-F408)^(Assumptions!$B$4/12)</f>
        <v/>
      </c>
      <c r="K408" s="14">
        <f>J408*I408</f>
        <v/>
      </c>
      <c r="L408" s="14">
        <f>IF(G408="Yes",(1-(1-F408*(1-Assumptions!$B$6))^(Assumptions!$B$4/12))*I408,K408)</f>
        <v/>
      </c>
    </row>
    <row r="409">
      <c r="A409" s="9" t="inlineStr">
        <is>
          <t>DF-100105</t>
        </is>
      </c>
      <c r="B409" s="9" t="inlineStr">
        <is>
          <t>Product</t>
        </is>
      </c>
      <c r="C409" s="9" t="inlineStr">
        <is>
          <t>L1 - Junior</t>
        </is>
      </c>
      <c r="D409" s="10" t="n">
        <v>72935</v>
      </c>
      <c r="E409" s="11" t="n">
        <v>15.3</v>
      </c>
      <c r="F409" s="12">
        <f>E409/100</f>
        <v/>
      </c>
      <c r="G409" s="9" t="inlineStr">
        <is>
          <t>No</t>
        </is>
      </c>
      <c r="H409" s="13">
        <f>VLOOKUP(C409,Assumptions!$A$10:$B$15,2,FALSE)</f>
        <v/>
      </c>
      <c r="I409" s="14">
        <f>D409*H409</f>
        <v/>
      </c>
      <c r="J409" s="12">
        <f>1-(1-F409)^(Assumptions!$B$4/12)</f>
        <v/>
      </c>
      <c r="K409" s="14">
        <f>J409*I409</f>
        <v/>
      </c>
      <c r="L409" s="14">
        <f>IF(G409="Yes",(1-(1-F409*(1-Assumptions!$B$6))^(Assumptions!$B$4/12))*I409,K409)</f>
        <v/>
      </c>
    </row>
    <row r="410">
      <c r="A410" s="9" t="inlineStr">
        <is>
          <t>DF-100667</t>
        </is>
      </c>
      <c r="B410" s="9" t="inlineStr">
        <is>
          <t>Engineering</t>
        </is>
      </c>
      <c r="C410" s="9" t="inlineStr">
        <is>
          <t>L1 - Junior</t>
        </is>
      </c>
      <c r="D410" s="10" t="n">
        <v>72202</v>
      </c>
      <c r="E410" s="11" t="n">
        <v>15.3</v>
      </c>
      <c r="F410" s="12">
        <f>E410/100</f>
        <v/>
      </c>
      <c r="G410" s="9" t="inlineStr">
        <is>
          <t>No</t>
        </is>
      </c>
      <c r="H410" s="13">
        <f>VLOOKUP(C410,Assumptions!$A$10:$B$15,2,FALSE)</f>
        <v/>
      </c>
      <c r="I410" s="14">
        <f>D410*H410</f>
        <v/>
      </c>
      <c r="J410" s="12">
        <f>1-(1-F410)^(Assumptions!$B$4/12)</f>
        <v/>
      </c>
      <c r="K410" s="14">
        <f>J410*I410</f>
        <v/>
      </c>
      <c r="L410" s="14">
        <f>IF(G410="Yes",(1-(1-F410*(1-Assumptions!$B$6))^(Assumptions!$B$4/12))*I410,K410)</f>
        <v/>
      </c>
    </row>
    <row r="411">
      <c r="A411" s="9" t="inlineStr">
        <is>
          <t>DF-100586</t>
        </is>
      </c>
      <c r="B411" s="9" t="inlineStr">
        <is>
          <t>Sales</t>
        </is>
      </c>
      <c r="C411" s="9" t="inlineStr">
        <is>
          <t>L1 - Junior</t>
        </is>
      </c>
      <c r="D411" s="10" t="n">
        <v>48719</v>
      </c>
      <c r="E411" s="11" t="n">
        <v>15.2</v>
      </c>
      <c r="F411" s="12">
        <f>E411/100</f>
        <v/>
      </c>
      <c r="G411" s="9" t="inlineStr">
        <is>
          <t>No</t>
        </is>
      </c>
      <c r="H411" s="13">
        <f>VLOOKUP(C411,Assumptions!$A$10:$B$15,2,FALSE)</f>
        <v/>
      </c>
      <c r="I411" s="14">
        <f>D411*H411</f>
        <v/>
      </c>
      <c r="J411" s="12">
        <f>1-(1-F411)^(Assumptions!$B$4/12)</f>
        <v/>
      </c>
      <c r="K411" s="14">
        <f>J411*I411</f>
        <v/>
      </c>
      <c r="L411" s="14">
        <f>IF(G411="Yes",(1-(1-F411*(1-Assumptions!$B$6))^(Assumptions!$B$4/12))*I411,K411)</f>
        <v/>
      </c>
    </row>
    <row r="412">
      <c r="A412" s="9" t="inlineStr">
        <is>
          <t>DF-100147</t>
        </is>
      </c>
      <c r="B412" s="9" t="inlineStr">
        <is>
          <t>Data &amp; Analytics</t>
        </is>
      </c>
      <c r="C412" s="9" t="inlineStr">
        <is>
          <t>L4 - Lead</t>
        </is>
      </c>
      <c r="D412" s="10" t="n">
        <v>137726</v>
      </c>
      <c r="E412" s="11" t="n">
        <v>15.1</v>
      </c>
      <c r="F412" s="12">
        <f>E412/100</f>
        <v/>
      </c>
      <c r="G412" s="9" t="inlineStr">
        <is>
          <t>No</t>
        </is>
      </c>
      <c r="H412" s="13">
        <f>VLOOKUP(C412,Assumptions!$A$10:$B$15,2,FALSE)</f>
        <v/>
      </c>
      <c r="I412" s="14">
        <f>D412*H412</f>
        <v/>
      </c>
      <c r="J412" s="12">
        <f>1-(1-F412)^(Assumptions!$B$4/12)</f>
        <v/>
      </c>
      <c r="K412" s="14">
        <f>J412*I412</f>
        <v/>
      </c>
      <c r="L412" s="14">
        <f>IF(G412="Yes",(1-(1-F412*(1-Assumptions!$B$6))^(Assumptions!$B$4/12))*I412,K412)</f>
        <v/>
      </c>
    </row>
    <row r="413">
      <c r="A413" s="9" t="inlineStr">
        <is>
          <t>DF-100320</t>
        </is>
      </c>
      <c r="B413" s="9" t="inlineStr">
        <is>
          <t>Finance</t>
        </is>
      </c>
      <c r="C413" s="9" t="inlineStr">
        <is>
          <t>L2 - Mid</t>
        </is>
      </c>
      <c r="D413" s="10" t="n">
        <v>78153</v>
      </c>
      <c r="E413" s="11" t="n">
        <v>14.7</v>
      </c>
      <c r="F413" s="12">
        <f>E413/100</f>
        <v/>
      </c>
      <c r="G413" s="9" t="inlineStr">
        <is>
          <t>No</t>
        </is>
      </c>
      <c r="H413" s="13">
        <f>VLOOKUP(C413,Assumptions!$A$10:$B$15,2,FALSE)</f>
        <v/>
      </c>
      <c r="I413" s="14">
        <f>D413*H413</f>
        <v/>
      </c>
      <c r="J413" s="12">
        <f>1-(1-F413)^(Assumptions!$B$4/12)</f>
        <v/>
      </c>
      <c r="K413" s="14">
        <f>J413*I413</f>
        <v/>
      </c>
      <c r="L413" s="14">
        <f>IF(G413="Yes",(1-(1-F413*(1-Assumptions!$B$6))^(Assumptions!$B$4/12))*I413,K413)</f>
        <v/>
      </c>
    </row>
    <row r="414">
      <c r="A414" s="9" t="inlineStr">
        <is>
          <t>DF-100288</t>
        </is>
      </c>
      <c r="B414" s="9" t="inlineStr">
        <is>
          <t>Product</t>
        </is>
      </c>
      <c r="C414" s="9" t="inlineStr">
        <is>
          <t>L1 - Junior</t>
        </is>
      </c>
      <c r="D414" s="10" t="n">
        <v>51013</v>
      </c>
      <c r="E414" s="11" t="n">
        <v>14.6</v>
      </c>
      <c r="F414" s="12">
        <f>E414/100</f>
        <v/>
      </c>
      <c r="G414" s="9" t="inlineStr">
        <is>
          <t>No</t>
        </is>
      </c>
      <c r="H414" s="13">
        <f>VLOOKUP(C414,Assumptions!$A$10:$B$15,2,FALSE)</f>
        <v/>
      </c>
      <c r="I414" s="14">
        <f>D414*H414</f>
        <v/>
      </c>
      <c r="J414" s="12">
        <f>1-(1-F414)^(Assumptions!$B$4/12)</f>
        <v/>
      </c>
      <c r="K414" s="14">
        <f>J414*I414</f>
        <v/>
      </c>
      <c r="L414" s="14">
        <f>IF(G414="Yes",(1-(1-F414*(1-Assumptions!$B$6))^(Assumptions!$B$4/12))*I414,K414)</f>
        <v/>
      </c>
    </row>
    <row r="415">
      <c r="A415" s="9" t="inlineStr">
        <is>
          <t>DF-100557</t>
        </is>
      </c>
      <c r="B415" s="9" t="inlineStr">
        <is>
          <t>Sales</t>
        </is>
      </c>
      <c r="C415" s="9" t="inlineStr">
        <is>
          <t>L1 - Junior</t>
        </is>
      </c>
      <c r="D415" s="10" t="n">
        <v>62066</v>
      </c>
      <c r="E415" s="11" t="n">
        <v>14.4</v>
      </c>
      <c r="F415" s="12">
        <f>E415/100</f>
        <v/>
      </c>
      <c r="G415" s="9" t="inlineStr">
        <is>
          <t>No</t>
        </is>
      </c>
      <c r="H415" s="13">
        <f>VLOOKUP(C415,Assumptions!$A$10:$B$15,2,FALSE)</f>
        <v/>
      </c>
      <c r="I415" s="14">
        <f>D415*H415</f>
        <v/>
      </c>
      <c r="J415" s="12">
        <f>1-(1-F415)^(Assumptions!$B$4/12)</f>
        <v/>
      </c>
      <c r="K415" s="14">
        <f>J415*I415</f>
        <v/>
      </c>
      <c r="L415" s="14">
        <f>IF(G415="Yes",(1-(1-F415*(1-Assumptions!$B$6))^(Assumptions!$B$4/12))*I415,K415)</f>
        <v/>
      </c>
    </row>
    <row r="416">
      <c r="A416" s="9" t="inlineStr">
        <is>
          <t>DF-100068</t>
        </is>
      </c>
      <c r="B416" s="9" t="inlineStr">
        <is>
          <t>Support</t>
        </is>
      </c>
      <c r="C416" s="9" t="inlineStr">
        <is>
          <t>L3 - Senior</t>
        </is>
      </c>
      <c r="D416" s="10" t="n">
        <v>88732</v>
      </c>
      <c r="E416" s="11" t="n">
        <v>14.4</v>
      </c>
      <c r="F416" s="12">
        <f>E416/100</f>
        <v/>
      </c>
      <c r="G416" s="9" t="inlineStr">
        <is>
          <t>No</t>
        </is>
      </c>
      <c r="H416" s="13">
        <f>VLOOKUP(C416,Assumptions!$A$10:$B$15,2,FALSE)</f>
        <v/>
      </c>
      <c r="I416" s="14">
        <f>D416*H416</f>
        <v/>
      </c>
      <c r="J416" s="12">
        <f>1-(1-F416)^(Assumptions!$B$4/12)</f>
        <v/>
      </c>
      <c r="K416" s="14">
        <f>J416*I416</f>
        <v/>
      </c>
      <c r="L416" s="14">
        <f>IF(G416="Yes",(1-(1-F416*(1-Assumptions!$B$6))^(Assumptions!$B$4/12))*I416,K416)</f>
        <v/>
      </c>
    </row>
    <row r="417">
      <c r="A417" s="9" t="inlineStr">
        <is>
          <t>DF-100490</t>
        </is>
      </c>
      <c r="B417" s="9" t="inlineStr">
        <is>
          <t>Operations</t>
        </is>
      </c>
      <c r="C417" s="9" t="inlineStr">
        <is>
          <t>L4 - Lead</t>
        </is>
      </c>
      <c r="D417" s="10" t="n">
        <v>126710</v>
      </c>
      <c r="E417" s="11" t="n">
        <v>14.4</v>
      </c>
      <c r="F417" s="12">
        <f>E417/100</f>
        <v/>
      </c>
      <c r="G417" s="9" t="inlineStr">
        <is>
          <t>No</t>
        </is>
      </c>
      <c r="H417" s="13">
        <f>VLOOKUP(C417,Assumptions!$A$10:$B$15,2,FALSE)</f>
        <v/>
      </c>
      <c r="I417" s="14">
        <f>D417*H417</f>
        <v/>
      </c>
      <c r="J417" s="12">
        <f>1-(1-F417)^(Assumptions!$B$4/12)</f>
        <v/>
      </c>
      <c r="K417" s="14">
        <f>J417*I417</f>
        <v/>
      </c>
      <c r="L417" s="14">
        <f>IF(G417="Yes",(1-(1-F417*(1-Assumptions!$B$6))^(Assumptions!$B$4/12))*I417,K417)</f>
        <v/>
      </c>
    </row>
    <row r="418">
      <c r="A418" s="9" t="inlineStr">
        <is>
          <t>DF-100555</t>
        </is>
      </c>
      <c r="B418" s="9" t="inlineStr">
        <is>
          <t>Sales</t>
        </is>
      </c>
      <c r="C418" s="9" t="inlineStr">
        <is>
          <t>L3 - Senior</t>
        </is>
      </c>
      <c r="D418" s="10" t="n">
        <v>103813</v>
      </c>
      <c r="E418" s="11" t="n">
        <v>14.4</v>
      </c>
      <c r="F418" s="12">
        <f>E418/100</f>
        <v/>
      </c>
      <c r="G418" s="9" t="inlineStr">
        <is>
          <t>No</t>
        </is>
      </c>
      <c r="H418" s="13">
        <f>VLOOKUP(C418,Assumptions!$A$10:$B$15,2,FALSE)</f>
        <v/>
      </c>
      <c r="I418" s="14">
        <f>D418*H418</f>
        <v/>
      </c>
      <c r="J418" s="12">
        <f>1-(1-F418)^(Assumptions!$B$4/12)</f>
        <v/>
      </c>
      <c r="K418" s="14">
        <f>J418*I418</f>
        <v/>
      </c>
      <c r="L418" s="14">
        <f>IF(G418="Yes",(1-(1-F418*(1-Assumptions!$B$6))^(Assumptions!$B$4/12))*I418,K418)</f>
        <v/>
      </c>
    </row>
    <row r="419">
      <c r="A419" s="9" t="inlineStr">
        <is>
          <t>DF-100104</t>
        </is>
      </c>
      <c r="B419" s="9" t="inlineStr">
        <is>
          <t>Data &amp; Analytics</t>
        </is>
      </c>
      <c r="C419" s="9" t="inlineStr">
        <is>
          <t>L3 - Senior</t>
        </is>
      </c>
      <c r="D419" s="10" t="n">
        <v>119403</v>
      </c>
      <c r="E419" s="11" t="n">
        <v>14.3</v>
      </c>
      <c r="F419" s="12">
        <f>E419/100</f>
        <v/>
      </c>
      <c r="G419" s="9" t="inlineStr">
        <is>
          <t>No</t>
        </is>
      </c>
      <c r="H419" s="13">
        <f>VLOOKUP(C419,Assumptions!$A$10:$B$15,2,FALSE)</f>
        <v/>
      </c>
      <c r="I419" s="14">
        <f>D419*H419</f>
        <v/>
      </c>
      <c r="J419" s="12">
        <f>1-(1-F419)^(Assumptions!$B$4/12)</f>
        <v/>
      </c>
      <c r="K419" s="14">
        <f>J419*I419</f>
        <v/>
      </c>
      <c r="L419" s="14">
        <f>IF(G419="Yes",(1-(1-F419*(1-Assumptions!$B$6))^(Assumptions!$B$4/12))*I419,K419)</f>
        <v/>
      </c>
    </row>
    <row r="420">
      <c r="A420" s="9" t="inlineStr">
        <is>
          <t>DF-100405</t>
        </is>
      </c>
      <c r="B420" s="9" t="inlineStr">
        <is>
          <t>Support</t>
        </is>
      </c>
      <c r="C420" s="9" t="inlineStr">
        <is>
          <t>L4 - Lead</t>
        </is>
      </c>
      <c r="D420" s="10" t="n">
        <v>106017</v>
      </c>
      <c r="E420" s="11" t="n">
        <v>14.2</v>
      </c>
      <c r="F420" s="12">
        <f>E420/100</f>
        <v/>
      </c>
      <c r="G420" s="9" t="inlineStr">
        <is>
          <t>No</t>
        </is>
      </c>
      <c r="H420" s="13">
        <f>VLOOKUP(C420,Assumptions!$A$10:$B$15,2,FALSE)</f>
        <v/>
      </c>
      <c r="I420" s="14">
        <f>D420*H420</f>
        <v/>
      </c>
      <c r="J420" s="12">
        <f>1-(1-F420)^(Assumptions!$B$4/12)</f>
        <v/>
      </c>
      <c r="K420" s="14">
        <f>J420*I420</f>
        <v/>
      </c>
      <c r="L420" s="14">
        <f>IF(G420="Yes",(1-(1-F420*(1-Assumptions!$B$6))^(Assumptions!$B$4/12))*I420,K420)</f>
        <v/>
      </c>
    </row>
    <row r="421">
      <c r="A421" s="9" t="inlineStr">
        <is>
          <t>DF-100359</t>
        </is>
      </c>
      <c r="B421" s="9" t="inlineStr">
        <is>
          <t>Data &amp; Analytics</t>
        </is>
      </c>
      <c r="C421" s="9" t="inlineStr">
        <is>
          <t>L2 - Mid</t>
        </is>
      </c>
      <c r="D421" s="10" t="n">
        <v>71436</v>
      </c>
      <c r="E421" s="11" t="n">
        <v>14.2</v>
      </c>
      <c r="F421" s="12">
        <f>E421/100</f>
        <v/>
      </c>
      <c r="G421" s="9" t="inlineStr">
        <is>
          <t>No</t>
        </is>
      </c>
      <c r="H421" s="13">
        <f>VLOOKUP(C421,Assumptions!$A$10:$B$15,2,FALSE)</f>
        <v/>
      </c>
      <c r="I421" s="14">
        <f>D421*H421</f>
        <v/>
      </c>
      <c r="J421" s="12">
        <f>1-(1-F421)^(Assumptions!$B$4/12)</f>
        <v/>
      </c>
      <c r="K421" s="14">
        <f>J421*I421</f>
        <v/>
      </c>
      <c r="L421" s="14">
        <f>IF(G421="Yes",(1-(1-F421*(1-Assumptions!$B$6))^(Assumptions!$B$4/12))*I421,K421)</f>
        <v/>
      </c>
    </row>
    <row r="422">
      <c r="A422" s="9" t="inlineStr">
        <is>
          <t>DF-100581</t>
        </is>
      </c>
      <c r="B422" s="9" t="inlineStr">
        <is>
          <t>Engineering</t>
        </is>
      </c>
      <c r="C422" s="9" t="inlineStr">
        <is>
          <t>L5 - Manager</t>
        </is>
      </c>
      <c r="D422" s="10" t="n">
        <v>187298</v>
      </c>
      <c r="E422" s="11" t="n">
        <v>14.2</v>
      </c>
      <c r="F422" s="12">
        <f>E422/100</f>
        <v/>
      </c>
      <c r="G422" s="9" t="inlineStr">
        <is>
          <t>No</t>
        </is>
      </c>
      <c r="H422" s="13">
        <f>VLOOKUP(C422,Assumptions!$A$10:$B$15,2,FALSE)</f>
        <v/>
      </c>
      <c r="I422" s="14">
        <f>D422*H422</f>
        <v/>
      </c>
      <c r="J422" s="12">
        <f>1-(1-F422)^(Assumptions!$B$4/12)</f>
        <v/>
      </c>
      <c r="K422" s="14">
        <f>J422*I422</f>
        <v/>
      </c>
      <c r="L422" s="14">
        <f>IF(G422="Yes",(1-(1-F422*(1-Assumptions!$B$6))^(Assumptions!$B$4/12))*I422,K422)</f>
        <v/>
      </c>
    </row>
    <row r="423">
      <c r="A423" s="9" t="inlineStr">
        <is>
          <t>DF-100553</t>
        </is>
      </c>
      <c r="B423" s="9" t="inlineStr">
        <is>
          <t>Finance</t>
        </is>
      </c>
      <c r="C423" s="9" t="inlineStr">
        <is>
          <t>L1 - Junior</t>
        </is>
      </c>
      <c r="D423" s="10" t="n">
        <v>54037</v>
      </c>
      <c r="E423" s="11" t="n">
        <v>14.2</v>
      </c>
      <c r="F423" s="12">
        <f>E423/100</f>
        <v/>
      </c>
      <c r="G423" s="9" t="inlineStr">
        <is>
          <t>No</t>
        </is>
      </c>
      <c r="H423" s="13">
        <f>VLOOKUP(C423,Assumptions!$A$10:$B$15,2,FALSE)</f>
        <v/>
      </c>
      <c r="I423" s="14">
        <f>D423*H423</f>
        <v/>
      </c>
      <c r="J423" s="12">
        <f>1-(1-F423)^(Assumptions!$B$4/12)</f>
        <v/>
      </c>
      <c r="K423" s="14">
        <f>J423*I423</f>
        <v/>
      </c>
      <c r="L423" s="14">
        <f>IF(G423="Yes",(1-(1-F423*(1-Assumptions!$B$6))^(Assumptions!$B$4/12))*I423,K423)</f>
        <v/>
      </c>
    </row>
    <row r="424">
      <c r="A424" s="9" t="inlineStr">
        <is>
          <t>DF-100156</t>
        </is>
      </c>
      <c r="B424" s="9" t="inlineStr">
        <is>
          <t>Operations</t>
        </is>
      </c>
      <c r="C424" s="9" t="inlineStr">
        <is>
          <t>L5 - Manager</t>
        </is>
      </c>
      <c r="D424" s="10" t="n">
        <v>100727</v>
      </c>
      <c r="E424" s="11" t="n">
        <v>14.2</v>
      </c>
      <c r="F424" s="12">
        <f>E424/100</f>
        <v/>
      </c>
      <c r="G424" s="9" t="inlineStr">
        <is>
          <t>No</t>
        </is>
      </c>
      <c r="H424" s="13">
        <f>VLOOKUP(C424,Assumptions!$A$10:$B$15,2,FALSE)</f>
        <v/>
      </c>
      <c r="I424" s="14">
        <f>D424*H424</f>
        <v/>
      </c>
      <c r="J424" s="12">
        <f>1-(1-F424)^(Assumptions!$B$4/12)</f>
        <v/>
      </c>
      <c r="K424" s="14">
        <f>J424*I424</f>
        <v/>
      </c>
      <c r="L424" s="14">
        <f>IF(G424="Yes",(1-(1-F424*(1-Assumptions!$B$6))^(Assumptions!$B$4/12))*I424,K424)</f>
        <v/>
      </c>
    </row>
    <row r="425">
      <c r="A425" s="9" t="inlineStr">
        <is>
          <t>DF-100481</t>
        </is>
      </c>
      <c r="B425" s="9" t="inlineStr">
        <is>
          <t>Finance</t>
        </is>
      </c>
      <c r="C425" s="9" t="inlineStr">
        <is>
          <t>L1 - Junior</t>
        </is>
      </c>
      <c r="D425" s="10" t="n">
        <v>53629</v>
      </c>
      <c r="E425" s="11" t="n">
        <v>14.2</v>
      </c>
      <c r="F425" s="12">
        <f>E425/100</f>
        <v/>
      </c>
      <c r="G425" s="9" t="inlineStr">
        <is>
          <t>No</t>
        </is>
      </c>
      <c r="H425" s="13">
        <f>VLOOKUP(C425,Assumptions!$A$10:$B$15,2,FALSE)</f>
        <v/>
      </c>
      <c r="I425" s="14">
        <f>D425*H425</f>
        <v/>
      </c>
      <c r="J425" s="12">
        <f>1-(1-F425)^(Assumptions!$B$4/12)</f>
        <v/>
      </c>
      <c r="K425" s="14">
        <f>J425*I425</f>
        <v/>
      </c>
      <c r="L425" s="14">
        <f>IF(G425="Yes",(1-(1-F425*(1-Assumptions!$B$6))^(Assumptions!$B$4/12))*I425,K425)</f>
        <v/>
      </c>
    </row>
    <row r="426">
      <c r="A426" s="9" t="inlineStr">
        <is>
          <t>DF-100552</t>
        </is>
      </c>
      <c r="B426" s="9" t="inlineStr">
        <is>
          <t>Sales</t>
        </is>
      </c>
      <c r="C426" s="9" t="inlineStr">
        <is>
          <t>L1 - Junior</t>
        </is>
      </c>
      <c r="D426" s="10" t="n">
        <v>54250</v>
      </c>
      <c r="E426" s="11" t="n">
        <v>14.2</v>
      </c>
      <c r="F426" s="12">
        <f>E426/100</f>
        <v/>
      </c>
      <c r="G426" s="9" t="inlineStr">
        <is>
          <t>No</t>
        </is>
      </c>
      <c r="H426" s="13">
        <f>VLOOKUP(C426,Assumptions!$A$10:$B$15,2,FALSE)</f>
        <v/>
      </c>
      <c r="I426" s="14">
        <f>D426*H426</f>
        <v/>
      </c>
      <c r="J426" s="12">
        <f>1-(1-F426)^(Assumptions!$B$4/12)</f>
        <v/>
      </c>
      <c r="K426" s="14">
        <f>J426*I426</f>
        <v/>
      </c>
      <c r="L426" s="14">
        <f>IF(G426="Yes",(1-(1-F426*(1-Assumptions!$B$6))^(Assumptions!$B$4/12))*I426,K426)</f>
        <v/>
      </c>
    </row>
    <row r="427">
      <c r="A427" s="9" t="inlineStr">
        <is>
          <t>DF-100233</t>
        </is>
      </c>
      <c r="B427" s="9" t="inlineStr">
        <is>
          <t>Data &amp; Analytics</t>
        </is>
      </c>
      <c r="C427" s="9" t="inlineStr">
        <is>
          <t>L5 - Manager</t>
        </is>
      </c>
      <c r="D427" s="10" t="n">
        <v>154408</v>
      </c>
      <c r="E427" s="11" t="n">
        <v>14.1</v>
      </c>
      <c r="F427" s="12">
        <f>E427/100</f>
        <v/>
      </c>
      <c r="G427" s="9" t="inlineStr">
        <is>
          <t>No</t>
        </is>
      </c>
      <c r="H427" s="13">
        <f>VLOOKUP(C427,Assumptions!$A$10:$B$15,2,FALSE)</f>
        <v/>
      </c>
      <c r="I427" s="14">
        <f>D427*H427</f>
        <v/>
      </c>
      <c r="J427" s="12">
        <f>1-(1-F427)^(Assumptions!$B$4/12)</f>
        <v/>
      </c>
      <c r="K427" s="14">
        <f>J427*I427</f>
        <v/>
      </c>
      <c r="L427" s="14">
        <f>IF(G427="Yes",(1-(1-F427*(1-Assumptions!$B$6))^(Assumptions!$B$4/12))*I427,K427)</f>
        <v/>
      </c>
    </row>
    <row r="428">
      <c r="A428" s="9" t="inlineStr">
        <is>
          <t>DF-100413</t>
        </is>
      </c>
      <c r="B428" s="9" t="inlineStr">
        <is>
          <t>Engineering</t>
        </is>
      </c>
      <c r="C428" s="9" t="inlineStr">
        <is>
          <t>L3 - Senior</t>
        </is>
      </c>
      <c r="D428" s="10" t="n">
        <v>127801</v>
      </c>
      <c r="E428" s="11" t="n">
        <v>14.1</v>
      </c>
      <c r="F428" s="12">
        <f>E428/100</f>
        <v/>
      </c>
      <c r="G428" s="9" t="inlineStr">
        <is>
          <t>No</t>
        </is>
      </c>
      <c r="H428" s="13">
        <f>VLOOKUP(C428,Assumptions!$A$10:$B$15,2,FALSE)</f>
        <v/>
      </c>
      <c r="I428" s="14">
        <f>D428*H428</f>
        <v/>
      </c>
      <c r="J428" s="12">
        <f>1-(1-F428)^(Assumptions!$B$4/12)</f>
        <v/>
      </c>
      <c r="K428" s="14">
        <f>J428*I428</f>
        <v/>
      </c>
      <c r="L428" s="14">
        <f>IF(G428="Yes",(1-(1-F428*(1-Assumptions!$B$6))^(Assumptions!$B$4/12))*I428,K428)</f>
        <v/>
      </c>
    </row>
    <row r="429">
      <c r="A429" s="9" t="inlineStr">
        <is>
          <t>DF-100676</t>
        </is>
      </c>
      <c r="B429" s="9" t="inlineStr">
        <is>
          <t>Support</t>
        </is>
      </c>
      <c r="C429" s="9" t="inlineStr">
        <is>
          <t>L5 - Manager</t>
        </is>
      </c>
      <c r="D429" s="10" t="n">
        <v>90971</v>
      </c>
      <c r="E429" s="11" t="n">
        <v>14.1</v>
      </c>
      <c r="F429" s="12">
        <f>E429/100</f>
        <v/>
      </c>
      <c r="G429" s="9" t="inlineStr">
        <is>
          <t>No</t>
        </is>
      </c>
      <c r="H429" s="13">
        <f>VLOOKUP(C429,Assumptions!$A$10:$B$15,2,FALSE)</f>
        <v/>
      </c>
      <c r="I429" s="14">
        <f>D429*H429</f>
        <v/>
      </c>
      <c r="J429" s="12">
        <f>1-(1-F429)^(Assumptions!$B$4/12)</f>
        <v/>
      </c>
      <c r="K429" s="14">
        <f>J429*I429</f>
        <v/>
      </c>
      <c r="L429" s="14">
        <f>IF(G429="Yes",(1-(1-F429*(1-Assumptions!$B$6))^(Assumptions!$B$4/12))*I429,K429)</f>
        <v/>
      </c>
    </row>
    <row r="430">
      <c r="A430" s="9" t="inlineStr">
        <is>
          <t>DF-100319</t>
        </is>
      </c>
      <c r="B430" s="9" t="inlineStr">
        <is>
          <t>Data &amp; Analytics</t>
        </is>
      </c>
      <c r="C430" s="9" t="inlineStr">
        <is>
          <t>L3 - Senior</t>
        </is>
      </c>
      <c r="D430" s="10" t="n">
        <v>115033</v>
      </c>
      <c r="E430" s="11" t="n">
        <v>14</v>
      </c>
      <c r="F430" s="12">
        <f>E430/100</f>
        <v/>
      </c>
      <c r="G430" s="9" t="inlineStr">
        <is>
          <t>No</t>
        </is>
      </c>
      <c r="H430" s="13">
        <f>VLOOKUP(C430,Assumptions!$A$10:$B$15,2,FALSE)</f>
        <v/>
      </c>
      <c r="I430" s="14">
        <f>D430*H430</f>
        <v/>
      </c>
      <c r="J430" s="12">
        <f>1-(1-F430)^(Assumptions!$B$4/12)</f>
        <v/>
      </c>
      <c r="K430" s="14">
        <f>J430*I430</f>
        <v/>
      </c>
      <c r="L430" s="14">
        <f>IF(G430="Yes",(1-(1-F430*(1-Assumptions!$B$6))^(Assumptions!$B$4/12))*I430,K430)</f>
        <v/>
      </c>
    </row>
    <row r="431">
      <c r="A431" s="9" t="inlineStr">
        <is>
          <t>DF-100102</t>
        </is>
      </c>
      <c r="B431" s="9" t="inlineStr">
        <is>
          <t>Product</t>
        </is>
      </c>
      <c r="C431" s="9" t="inlineStr">
        <is>
          <t>L4 - Lead</t>
        </is>
      </c>
      <c r="D431" s="10" t="n">
        <v>145072</v>
      </c>
      <c r="E431" s="11" t="n">
        <v>14</v>
      </c>
      <c r="F431" s="12">
        <f>E431/100</f>
        <v/>
      </c>
      <c r="G431" s="9" t="inlineStr">
        <is>
          <t>No</t>
        </is>
      </c>
      <c r="H431" s="13">
        <f>VLOOKUP(C431,Assumptions!$A$10:$B$15,2,FALSE)</f>
        <v/>
      </c>
      <c r="I431" s="14">
        <f>D431*H431</f>
        <v/>
      </c>
      <c r="J431" s="12">
        <f>1-(1-F431)^(Assumptions!$B$4/12)</f>
        <v/>
      </c>
      <c r="K431" s="14">
        <f>J431*I431</f>
        <v/>
      </c>
      <c r="L431" s="14">
        <f>IF(G431="Yes",(1-(1-F431*(1-Assumptions!$B$6))^(Assumptions!$B$4/12))*I431,K431)</f>
        <v/>
      </c>
    </row>
    <row r="432">
      <c r="A432" s="9" t="inlineStr">
        <is>
          <t>DF-100135</t>
        </is>
      </c>
      <c r="B432" s="9" t="inlineStr">
        <is>
          <t>Sales</t>
        </is>
      </c>
      <c r="C432" s="9" t="inlineStr">
        <is>
          <t>L2 - Mid</t>
        </is>
      </c>
      <c r="D432" s="10" t="n">
        <v>64622</v>
      </c>
      <c r="E432" s="11" t="n">
        <v>13.9</v>
      </c>
      <c r="F432" s="12">
        <f>E432/100</f>
        <v/>
      </c>
      <c r="G432" s="9" t="inlineStr">
        <is>
          <t>No</t>
        </is>
      </c>
      <c r="H432" s="13">
        <f>VLOOKUP(C432,Assumptions!$A$10:$B$15,2,FALSE)</f>
        <v/>
      </c>
      <c r="I432" s="14">
        <f>D432*H432</f>
        <v/>
      </c>
      <c r="J432" s="12">
        <f>1-(1-F432)^(Assumptions!$B$4/12)</f>
        <v/>
      </c>
      <c r="K432" s="14">
        <f>J432*I432</f>
        <v/>
      </c>
      <c r="L432" s="14">
        <f>IF(G432="Yes",(1-(1-F432*(1-Assumptions!$B$6))^(Assumptions!$B$4/12))*I432,K432)</f>
        <v/>
      </c>
    </row>
    <row r="433">
      <c r="A433" s="9" t="inlineStr">
        <is>
          <t>DF-100316</t>
        </is>
      </c>
      <c r="B433" s="9" t="inlineStr">
        <is>
          <t>Sales</t>
        </is>
      </c>
      <c r="C433" s="9" t="inlineStr">
        <is>
          <t>L2 - Mid</t>
        </is>
      </c>
      <c r="D433" s="10" t="n">
        <v>84259</v>
      </c>
      <c r="E433" s="11" t="n">
        <v>13.8</v>
      </c>
      <c r="F433" s="12">
        <f>E433/100</f>
        <v/>
      </c>
      <c r="G433" s="9" t="inlineStr">
        <is>
          <t>No</t>
        </is>
      </c>
      <c r="H433" s="13">
        <f>VLOOKUP(C433,Assumptions!$A$10:$B$15,2,FALSE)</f>
        <v/>
      </c>
      <c r="I433" s="14">
        <f>D433*H433</f>
        <v/>
      </c>
      <c r="J433" s="12">
        <f>1-(1-F433)^(Assumptions!$B$4/12)</f>
        <v/>
      </c>
      <c r="K433" s="14">
        <f>J433*I433</f>
        <v/>
      </c>
      <c r="L433" s="14">
        <f>IF(G433="Yes",(1-(1-F433*(1-Assumptions!$B$6))^(Assumptions!$B$4/12))*I433,K433)</f>
        <v/>
      </c>
    </row>
    <row r="434">
      <c r="A434" s="9" t="inlineStr">
        <is>
          <t>DF-100404</t>
        </is>
      </c>
      <c r="B434" s="9" t="inlineStr">
        <is>
          <t>Support</t>
        </is>
      </c>
      <c r="C434" s="9" t="inlineStr">
        <is>
          <t>L3 - Senior</t>
        </is>
      </c>
      <c r="D434" s="10" t="n">
        <v>71084</v>
      </c>
      <c r="E434" s="11" t="n">
        <v>13.8</v>
      </c>
      <c r="F434" s="12">
        <f>E434/100</f>
        <v/>
      </c>
      <c r="G434" s="9" t="inlineStr">
        <is>
          <t>No</t>
        </is>
      </c>
      <c r="H434" s="13">
        <f>VLOOKUP(C434,Assumptions!$A$10:$B$15,2,FALSE)</f>
        <v/>
      </c>
      <c r="I434" s="14">
        <f>D434*H434</f>
        <v/>
      </c>
      <c r="J434" s="12">
        <f>1-(1-F434)^(Assumptions!$B$4/12)</f>
        <v/>
      </c>
      <c r="K434" s="14">
        <f>J434*I434</f>
        <v/>
      </c>
      <c r="L434" s="14">
        <f>IF(G434="Yes",(1-(1-F434*(1-Assumptions!$B$6))^(Assumptions!$B$4/12))*I434,K434)</f>
        <v/>
      </c>
    </row>
    <row r="435">
      <c r="A435" s="9" t="inlineStr">
        <is>
          <t>DF-100547</t>
        </is>
      </c>
      <c r="B435" s="9" t="inlineStr">
        <is>
          <t>Sales</t>
        </is>
      </c>
      <c r="C435" s="9" t="inlineStr">
        <is>
          <t>L1 - Junior</t>
        </is>
      </c>
      <c r="D435" s="10" t="n">
        <v>56315</v>
      </c>
      <c r="E435" s="11" t="n">
        <v>13.8</v>
      </c>
      <c r="F435" s="12">
        <f>E435/100</f>
        <v/>
      </c>
      <c r="G435" s="9" t="inlineStr">
        <is>
          <t>No</t>
        </is>
      </c>
      <c r="H435" s="13">
        <f>VLOOKUP(C435,Assumptions!$A$10:$B$15,2,FALSE)</f>
        <v/>
      </c>
      <c r="I435" s="14">
        <f>D435*H435</f>
        <v/>
      </c>
      <c r="J435" s="12">
        <f>1-(1-F435)^(Assumptions!$B$4/12)</f>
        <v/>
      </c>
      <c r="K435" s="14">
        <f>J435*I435</f>
        <v/>
      </c>
      <c r="L435" s="14">
        <f>IF(G435="Yes",(1-(1-F435*(1-Assumptions!$B$6))^(Assumptions!$B$4/12))*I435,K435)</f>
        <v/>
      </c>
    </row>
    <row r="436">
      <c r="A436" s="9" t="inlineStr">
        <is>
          <t>DF-100023</t>
        </is>
      </c>
      <c r="B436" s="9" t="inlineStr">
        <is>
          <t>Product</t>
        </is>
      </c>
      <c r="C436" s="9" t="inlineStr">
        <is>
          <t>L4 - Lead</t>
        </is>
      </c>
      <c r="D436" s="10" t="n">
        <v>144220</v>
      </c>
      <c r="E436" s="11" t="n">
        <v>13.7</v>
      </c>
      <c r="F436" s="12">
        <f>E436/100</f>
        <v/>
      </c>
      <c r="G436" s="9" t="inlineStr">
        <is>
          <t>No</t>
        </is>
      </c>
      <c r="H436" s="13">
        <f>VLOOKUP(C436,Assumptions!$A$10:$B$15,2,FALSE)</f>
        <v/>
      </c>
      <c r="I436" s="14">
        <f>D436*H436</f>
        <v/>
      </c>
      <c r="J436" s="12">
        <f>1-(1-F436)^(Assumptions!$B$4/12)</f>
        <v/>
      </c>
      <c r="K436" s="14">
        <f>J436*I436</f>
        <v/>
      </c>
      <c r="L436" s="14">
        <f>IF(G436="Yes",(1-(1-F436*(1-Assumptions!$B$6))^(Assumptions!$B$4/12))*I436,K436)</f>
        <v/>
      </c>
    </row>
    <row r="437">
      <c r="A437" s="9" t="inlineStr">
        <is>
          <t>DF-100009</t>
        </is>
      </c>
      <c r="B437" s="9" t="inlineStr">
        <is>
          <t>Marketing</t>
        </is>
      </c>
      <c r="C437" s="9" t="inlineStr">
        <is>
          <t>L1 - Junior</t>
        </is>
      </c>
      <c r="D437" s="10" t="n">
        <v>39886</v>
      </c>
      <c r="E437" s="11" t="n">
        <v>13.5</v>
      </c>
      <c r="F437" s="12">
        <f>E437/100</f>
        <v/>
      </c>
      <c r="G437" s="9" t="inlineStr">
        <is>
          <t>No</t>
        </is>
      </c>
      <c r="H437" s="13">
        <f>VLOOKUP(C437,Assumptions!$A$10:$B$15,2,FALSE)</f>
        <v/>
      </c>
      <c r="I437" s="14">
        <f>D437*H437</f>
        <v/>
      </c>
      <c r="J437" s="12">
        <f>1-(1-F437)^(Assumptions!$B$4/12)</f>
        <v/>
      </c>
      <c r="K437" s="14">
        <f>J437*I437</f>
        <v/>
      </c>
      <c r="L437" s="14">
        <f>IF(G437="Yes",(1-(1-F437*(1-Assumptions!$B$6))^(Assumptions!$B$4/12))*I437,K437)</f>
        <v/>
      </c>
    </row>
    <row r="438">
      <c r="A438" s="9" t="inlineStr">
        <is>
          <t>DF-100495</t>
        </is>
      </c>
      <c r="B438" s="9" t="inlineStr">
        <is>
          <t>Support</t>
        </is>
      </c>
      <c r="C438" s="9" t="inlineStr">
        <is>
          <t>L3 - Senior</t>
        </is>
      </c>
      <c r="D438" s="10" t="n">
        <v>78280</v>
      </c>
      <c r="E438" s="11" t="n">
        <v>13.4</v>
      </c>
      <c r="F438" s="12">
        <f>E438/100</f>
        <v/>
      </c>
      <c r="G438" s="9" t="inlineStr">
        <is>
          <t>No</t>
        </is>
      </c>
      <c r="H438" s="13">
        <f>VLOOKUP(C438,Assumptions!$A$10:$B$15,2,FALSE)</f>
        <v/>
      </c>
      <c r="I438" s="14">
        <f>D438*H438</f>
        <v/>
      </c>
      <c r="J438" s="12">
        <f>1-(1-F438)^(Assumptions!$B$4/12)</f>
        <v/>
      </c>
      <c r="K438" s="14">
        <f>J438*I438</f>
        <v/>
      </c>
      <c r="L438" s="14">
        <f>IF(G438="Yes",(1-(1-F438*(1-Assumptions!$B$6))^(Assumptions!$B$4/12))*I438,K438)</f>
        <v/>
      </c>
    </row>
    <row r="439">
      <c r="A439" s="9" t="inlineStr">
        <is>
          <t>DF-100532</t>
        </is>
      </c>
      <c r="B439" s="9" t="inlineStr">
        <is>
          <t>Engineering</t>
        </is>
      </c>
      <c r="C439" s="9" t="inlineStr">
        <is>
          <t>L2 - Mid</t>
        </is>
      </c>
      <c r="D439" s="10" t="n">
        <v>82646</v>
      </c>
      <c r="E439" s="11" t="n">
        <v>13.4</v>
      </c>
      <c r="F439" s="12">
        <f>E439/100</f>
        <v/>
      </c>
      <c r="G439" s="9" t="inlineStr">
        <is>
          <t>No</t>
        </is>
      </c>
      <c r="H439" s="13">
        <f>VLOOKUP(C439,Assumptions!$A$10:$B$15,2,FALSE)</f>
        <v/>
      </c>
      <c r="I439" s="14">
        <f>D439*H439</f>
        <v/>
      </c>
      <c r="J439" s="12">
        <f>1-(1-F439)^(Assumptions!$B$4/12)</f>
        <v/>
      </c>
      <c r="K439" s="14">
        <f>J439*I439</f>
        <v/>
      </c>
      <c r="L439" s="14">
        <f>IF(G439="Yes",(1-(1-F439*(1-Assumptions!$B$6))^(Assumptions!$B$4/12))*I439,K439)</f>
        <v/>
      </c>
    </row>
    <row r="440">
      <c r="A440" s="9" t="inlineStr">
        <is>
          <t>DF-100046</t>
        </is>
      </c>
      <c r="B440" s="9" t="inlineStr">
        <is>
          <t>Support</t>
        </is>
      </c>
      <c r="C440" s="9" t="inlineStr">
        <is>
          <t>L1 - Junior</t>
        </is>
      </c>
      <c r="D440" s="10" t="n">
        <v>46187</v>
      </c>
      <c r="E440" s="11" t="n">
        <v>13.2</v>
      </c>
      <c r="F440" s="12">
        <f>E440/100</f>
        <v/>
      </c>
      <c r="G440" s="9" t="inlineStr">
        <is>
          <t>No</t>
        </is>
      </c>
      <c r="H440" s="13">
        <f>VLOOKUP(C440,Assumptions!$A$10:$B$15,2,FALSE)</f>
        <v/>
      </c>
      <c r="I440" s="14">
        <f>D440*H440</f>
        <v/>
      </c>
      <c r="J440" s="12">
        <f>1-(1-F440)^(Assumptions!$B$4/12)</f>
        <v/>
      </c>
      <c r="K440" s="14">
        <f>J440*I440</f>
        <v/>
      </c>
      <c r="L440" s="14">
        <f>IF(G440="Yes",(1-(1-F440*(1-Assumptions!$B$6))^(Assumptions!$B$4/12))*I440,K440)</f>
        <v/>
      </c>
    </row>
    <row r="441">
      <c r="A441" s="9" t="inlineStr">
        <is>
          <t>DF-100389</t>
        </is>
      </c>
      <c r="B441" s="9" t="inlineStr">
        <is>
          <t>Marketing</t>
        </is>
      </c>
      <c r="C441" s="9" t="inlineStr">
        <is>
          <t>L1 - Junior</t>
        </is>
      </c>
      <c r="D441" s="10" t="n">
        <v>50019</v>
      </c>
      <c r="E441" s="11" t="n">
        <v>13</v>
      </c>
      <c r="F441" s="12">
        <f>E441/100</f>
        <v/>
      </c>
      <c r="G441" s="9" t="inlineStr">
        <is>
          <t>No</t>
        </is>
      </c>
      <c r="H441" s="13">
        <f>VLOOKUP(C441,Assumptions!$A$10:$B$15,2,FALSE)</f>
        <v/>
      </c>
      <c r="I441" s="14">
        <f>D441*H441</f>
        <v/>
      </c>
      <c r="J441" s="12">
        <f>1-(1-F441)^(Assumptions!$B$4/12)</f>
        <v/>
      </c>
      <c r="K441" s="14">
        <f>J441*I441</f>
        <v/>
      </c>
      <c r="L441" s="14">
        <f>IF(G441="Yes",(1-(1-F441*(1-Assumptions!$B$6))^(Assumptions!$B$4/12))*I441,K441)</f>
        <v/>
      </c>
    </row>
    <row r="442">
      <c r="A442" s="9" t="inlineStr">
        <is>
          <t>DF-100373</t>
        </is>
      </c>
      <c r="B442" s="9" t="inlineStr">
        <is>
          <t>Support</t>
        </is>
      </c>
      <c r="C442" s="9" t="inlineStr">
        <is>
          <t>L6 - Director</t>
        </is>
      </c>
      <c r="D442" s="10" t="n">
        <v>138791</v>
      </c>
      <c r="E442" s="11" t="n">
        <v>12.9</v>
      </c>
      <c r="F442" s="12">
        <f>E442/100</f>
        <v/>
      </c>
      <c r="G442" s="9" t="inlineStr">
        <is>
          <t>No</t>
        </is>
      </c>
      <c r="H442" s="13">
        <f>VLOOKUP(C442,Assumptions!$A$10:$B$15,2,FALSE)</f>
        <v/>
      </c>
      <c r="I442" s="14">
        <f>D442*H442</f>
        <v/>
      </c>
      <c r="J442" s="12">
        <f>1-(1-F442)^(Assumptions!$B$4/12)</f>
        <v/>
      </c>
      <c r="K442" s="14">
        <f>J442*I442</f>
        <v/>
      </c>
      <c r="L442" s="14">
        <f>IF(G442="Yes",(1-(1-F442*(1-Assumptions!$B$6))^(Assumptions!$B$4/12))*I442,K442)</f>
        <v/>
      </c>
    </row>
    <row r="443">
      <c r="A443" s="9" t="inlineStr">
        <is>
          <t>DF-100045</t>
        </is>
      </c>
      <c r="B443" s="9" t="inlineStr">
        <is>
          <t>Engineering</t>
        </is>
      </c>
      <c r="C443" s="9" t="inlineStr">
        <is>
          <t>L2 - Mid</t>
        </is>
      </c>
      <c r="D443" s="10" t="n">
        <v>89723</v>
      </c>
      <c r="E443" s="11" t="n">
        <v>12.9</v>
      </c>
      <c r="F443" s="12">
        <f>E443/100</f>
        <v/>
      </c>
      <c r="G443" s="9" t="inlineStr">
        <is>
          <t>No</t>
        </is>
      </c>
      <c r="H443" s="13">
        <f>VLOOKUP(C443,Assumptions!$A$10:$B$15,2,FALSE)</f>
        <v/>
      </c>
      <c r="I443" s="14">
        <f>D443*H443</f>
        <v/>
      </c>
      <c r="J443" s="12">
        <f>1-(1-F443)^(Assumptions!$B$4/12)</f>
        <v/>
      </c>
      <c r="K443" s="14">
        <f>J443*I443</f>
        <v/>
      </c>
      <c r="L443" s="14">
        <f>IF(G443="Yes",(1-(1-F443*(1-Assumptions!$B$6))^(Assumptions!$B$4/12))*I443,K443)</f>
        <v/>
      </c>
    </row>
    <row r="444">
      <c r="A444" s="9" t="inlineStr">
        <is>
          <t>DF-100346</t>
        </is>
      </c>
      <c r="B444" s="9" t="inlineStr">
        <is>
          <t>Engineering</t>
        </is>
      </c>
      <c r="C444" s="9" t="inlineStr">
        <is>
          <t>L5 - Manager</t>
        </is>
      </c>
      <c r="D444" s="10" t="n">
        <v>195380</v>
      </c>
      <c r="E444" s="11" t="n">
        <v>12.9</v>
      </c>
      <c r="F444" s="12">
        <f>E444/100</f>
        <v/>
      </c>
      <c r="G444" s="9" t="inlineStr">
        <is>
          <t>No</t>
        </is>
      </c>
      <c r="H444" s="13">
        <f>VLOOKUP(C444,Assumptions!$A$10:$B$15,2,FALSE)</f>
        <v/>
      </c>
      <c r="I444" s="14">
        <f>D444*H444</f>
        <v/>
      </c>
      <c r="J444" s="12">
        <f>1-(1-F444)^(Assumptions!$B$4/12)</f>
        <v/>
      </c>
      <c r="K444" s="14">
        <f>J444*I444</f>
        <v/>
      </c>
      <c r="L444" s="14">
        <f>IF(G444="Yes",(1-(1-F444*(1-Assumptions!$B$6))^(Assumptions!$B$4/12))*I444,K444)</f>
        <v/>
      </c>
    </row>
    <row r="445">
      <c r="A445" s="9" t="inlineStr">
        <is>
          <t>DF-100443</t>
        </is>
      </c>
      <c r="B445" s="9" t="inlineStr">
        <is>
          <t>Data &amp; Analytics</t>
        </is>
      </c>
      <c r="C445" s="9" t="inlineStr">
        <is>
          <t>L1 - Junior</t>
        </is>
      </c>
      <c r="D445" s="10" t="n">
        <v>66008</v>
      </c>
      <c r="E445" s="11" t="n">
        <v>12.9</v>
      </c>
      <c r="F445" s="12">
        <f>E445/100</f>
        <v/>
      </c>
      <c r="G445" s="9" t="inlineStr">
        <is>
          <t>No</t>
        </is>
      </c>
      <c r="H445" s="13">
        <f>VLOOKUP(C445,Assumptions!$A$10:$B$15,2,FALSE)</f>
        <v/>
      </c>
      <c r="I445" s="14">
        <f>D445*H445</f>
        <v/>
      </c>
      <c r="J445" s="12">
        <f>1-(1-F445)^(Assumptions!$B$4/12)</f>
        <v/>
      </c>
      <c r="K445" s="14">
        <f>J445*I445</f>
        <v/>
      </c>
      <c r="L445" s="14">
        <f>IF(G445="Yes",(1-(1-F445*(1-Assumptions!$B$6))^(Assumptions!$B$4/12))*I445,K445)</f>
        <v/>
      </c>
    </row>
    <row r="446">
      <c r="A446" s="9" t="inlineStr">
        <is>
          <t>DF-100206</t>
        </is>
      </c>
      <c r="B446" s="9" t="inlineStr">
        <is>
          <t>Product</t>
        </is>
      </c>
      <c r="C446" s="9" t="inlineStr">
        <is>
          <t>L3 - Senior</t>
        </is>
      </c>
      <c r="D446" s="10" t="n">
        <v>106849</v>
      </c>
      <c r="E446" s="11" t="n">
        <v>12.9</v>
      </c>
      <c r="F446" s="12">
        <f>E446/100</f>
        <v/>
      </c>
      <c r="G446" s="9" t="inlineStr">
        <is>
          <t>No</t>
        </is>
      </c>
      <c r="H446" s="13">
        <f>VLOOKUP(C446,Assumptions!$A$10:$B$15,2,FALSE)</f>
        <v/>
      </c>
      <c r="I446" s="14">
        <f>D446*H446</f>
        <v/>
      </c>
      <c r="J446" s="12">
        <f>1-(1-F446)^(Assumptions!$B$4/12)</f>
        <v/>
      </c>
      <c r="K446" s="14">
        <f>J446*I446</f>
        <v/>
      </c>
      <c r="L446" s="14">
        <f>IF(G446="Yes",(1-(1-F446*(1-Assumptions!$B$6))^(Assumptions!$B$4/12))*I446,K446)</f>
        <v/>
      </c>
    </row>
    <row r="447">
      <c r="A447" s="9" t="inlineStr">
        <is>
          <t>DF-100342</t>
        </is>
      </c>
      <c r="B447" s="9" t="inlineStr">
        <is>
          <t>Sales</t>
        </is>
      </c>
      <c r="C447" s="9" t="inlineStr">
        <is>
          <t>L2 - Mid</t>
        </is>
      </c>
      <c r="D447" s="10" t="n">
        <v>80915</v>
      </c>
      <c r="E447" s="11" t="n">
        <v>12.8</v>
      </c>
      <c r="F447" s="12">
        <f>E447/100</f>
        <v/>
      </c>
      <c r="G447" s="9" t="inlineStr">
        <is>
          <t>No</t>
        </is>
      </c>
      <c r="H447" s="13">
        <f>VLOOKUP(C447,Assumptions!$A$10:$B$15,2,FALSE)</f>
        <v/>
      </c>
      <c r="I447" s="14">
        <f>D447*H447</f>
        <v/>
      </c>
      <c r="J447" s="12">
        <f>1-(1-F447)^(Assumptions!$B$4/12)</f>
        <v/>
      </c>
      <c r="K447" s="14">
        <f>J447*I447</f>
        <v/>
      </c>
      <c r="L447" s="14">
        <f>IF(G447="Yes",(1-(1-F447*(1-Assumptions!$B$6))^(Assumptions!$B$4/12))*I447,K447)</f>
        <v/>
      </c>
    </row>
    <row r="448">
      <c r="A448" s="9" t="inlineStr">
        <is>
          <t>DF-100492</t>
        </is>
      </c>
      <c r="B448" s="9" t="inlineStr">
        <is>
          <t>Support</t>
        </is>
      </c>
      <c r="C448" s="9" t="inlineStr">
        <is>
          <t>L1 - Junior</t>
        </is>
      </c>
      <c r="D448" s="10" t="n">
        <v>43756</v>
      </c>
      <c r="E448" s="11" t="n">
        <v>12.8</v>
      </c>
      <c r="F448" s="12">
        <f>E448/100</f>
        <v/>
      </c>
      <c r="G448" s="9" t="inlineStr">
        <is>
          <t>No</t>
        </is>
      </c>
      <c r="H448" s="13">
        <f>VLOOKUP(C448,Assumptions!$A$10:$B$15,2,FALSE)</f>
        <v/>
      </c>
      <c r="I448" s="14">
        <f>D448*H448</f>
        <v/>
      </c>
      <c r="J448" s="12">
        <f>1-(1-F448)^(Assumptions!$B$4/12)</f>
        <v/>
      </c>
      <c r="K448" s="14">
        <f>J448*I448</f>
        <v/>
      </c>
      <c r="L448" s="14">
        <f>IF(G448="Yes",(1-(1-F448*(1-Assumptions!$B$6))^(Assumptions!$B$4/12))*I448,K448)</f>
        <v/>
      </c>
    </row>
    <row r="449">
      <c r="A449" s="9" t="inlineStr">
        <is>
          <t>DF-100217</t>
        </is>
      </c>
      <c r="B449" s="9" t="inlineStr">
        <is>
          <t>Support</t>
        </is>
      </c>
      <c r="C449" s="9" t="inlineStr">
        <is>
          <t>L2 - Mid</t>
        </is>
      </c>
      <c r="D449" s="10" t="n">
        <v>62490</v>
      </c>
      <c r="E449" s="11" t="n">
        <v>12.6</v>
      </c>
      <c r="F449" s="12">
        <f>E449/100</f>
        <v/>
      </c>
      <c r="G449" s="9" t="inlineStr">
        <is>
          <t>No</t>
        </is>
      </c>
      <c r="H449" s="13">
        <f>VLOOKUP(C449,Assumptions!$A$10:$B$15,2,FALSE)</f>
        <v/>
      </c>
      <c r="I449" s="14">
        <f>D449*H449</f>
        <v/>
      </c>
      <c r="J449" s="12">
        <f>1-(1-F449)^(Assumptions!$B$4/12)</f>
        <v/>
      </c>
      <c r="K449" s="14">
        <f>J449*I449</f>
        <v/>
      </c>
      <c r="L449" s="14">
        <f>IF(G449="Yes",(1-(1-F449*(1-Assumptions!$B$6))^(Assumptions!$B$4/12))*I449,K449)</f>
        <v/>
      </c>
    </row>
    <row r="450">
      <c r="A450" s="9" t="inlineStr">
        <is>
          <t>DF-100473</t>
        </is>
      </c>
      <c r="B450" s="9" t="inlineStr">
        <is>
          <t>Support</t>
        </is>
      </c>
      <c r="C450" s="9" t="inlineStr">
        <is>
          <t>L6 - Director</t>
        </is>
      </c>
      <c r="D450" s="10" t="n">
        <v>159545</v>
      </c>
      <c r="E450" s="11" t="n">
        <v>12.5</v>
      </c>
      <c r="F450" s="12">
        <f>E450/100</f>
        <v/>
      </c>
      <c r="G450" s="9" t="inlineStr">
        <is>
          <t>No</t>
        </is>
      </c>
      <c r="H450" s="13">
        <f>VLOOKUP(C450,Assumptions!$A$10:$B$15,2,FALSE)</f>
        <v/>
      </c>
      <c r="I450" s="14">
        <f>D450*H450</f>
        <v/>
      </c>
      <c r="J450" s="12">
        <f>1-(1-F450)^(Assumptions!$B$4/12)</f>
        <v/>
      </c>
      <c r="K450" s="14">
        <f>J450*I450</f>
        <v/>
      </c>
      <c r="L450" s="14">
        <f>IF(G450="Yes",(1-(1-F450*(1-Assumptions!$B$6))^(Assumptions!$B$4/12))*I450,K450)</f>
        <v/>
      </c>
    </row>
    <row r="451">
      <c r="A451" s="9" t="inlineStr">
        <is>
          <t>DF-100174</t>
        </is>
      </c>
      <c r="B451" s="9" t="inlineStr">
        <is>
          <t>Operations</t>
        </is>
      </c>
      <c r="C451" s="9" t="inlineStr">
        <is>
          <t>L2 - Mid</t>
        </is>
      </c>
      <c r="D451" s="10" t="n">
        <v>65778</v>
      </c>
      <c r="E451" s="11" t="n">
        <v>12.4</v>
      </c>
      <c r="F451" s="12">
        <f>E451/100</f>
        <v/>
      </c>
      <c r="G451" s="9" t="inlineStr">
        <is>
          <t>No</t>
        </is>
      </c>
      <c r="H451" s="13">
        <f>VLOOKUP(C451,Assumptions!$A$10:$B$15,2,FALSE)</f>
        <v/>
      </c>
      <c r="I451" s="14">
        <f>D451*H451</f>
        <v/>
      </c>
      <c r="J451" s="12">
        <f>1-(1-F451)^(Assumptions!$B$4/12)</f>
        <v/>
      </c>
      <c r="K451" s="14">
        <f>J451*I451</f>
        <v/>
      </c>
      <c r="L451" s="14">
        <f>IF(G451="Yes",(1-(1-F451*(1-Assumptions!$B$6))^(Assumptions!$B$4/12))*I451,K451)</f>
        <v/>
      </c>
    </row>
    <row r="452">
      <c r="A452" s="9" t="inlineStr">
        <is>
          <t>DF-100549</t>
        </is>
      </c>
      <c r="B452" s="9" t="inlineStr">
        <is>
          <t>Finance</t>
        </is>
      </c>
      <c r="C452" s="9" t="inlineStr">
        <is>
          <t>L2 - Mid</t>
        </is>
      </c>
      <c r="D452" s="10" t="n">
        <v>53685</v>
      </c>
      <c r="E452" s="11" t="n">
        <v>12.4</v>
      </c>
      <c r="F452" s="12">
        <f>E452/100</f>
        <v/>
      </c>
      <c r="G452" s="9" t="inlineStr">
        <is>
          <t>No</t>
        </is>
      </c>
      <c r="H452" s="13">
        <f>VLOOKUP(C452,Assumptions!$A$10:$B$15,2,FALSE)</f>
        <v/>
      </c>
      <c r="I452" s="14">
        <f>D452*H452</f>
        <v/>
      </c>
      <c r="J452" s="12">
        <f>1-(1-F452)^(Assumptions!$B$4/12)</f>
        <v/>
      </c>
      <c r="K452" s="14">
        <f>J452*I452</f>
        <v/>
      </c>
      <c r="L452" s="14">
        <f>IF(G452="Yes",(1-(1-F452*(1-Assumptions!$B$6))^(Assumptions!$B$4/12))*I452,K452)</f>
        <v/>
      </c>
    </row>
    <row r="453">
      <c r="A453" s="9" t="inlineStr">
        <is>
          <t>DF-100054</t>
        </is>
      </c>
      <c r="B453" s="9" t="inlineStr">
        <is>
          <t>Support</t>
        </is>
      </c>
      <c r="C453" s="9" t="inlineStr">
        <is>
          <t>L5 - Manager</t>
        </is>
      </c>
      <c r="D453" s="10" t="n">
        <v>101439</v>
      </c>
      <c r="E453" s="11" t="n">
        <v>12.4</v>
      </c>
      <c r="F453" s="12">
        <f>E453/100</f>
        <v/>
      </c>
      <c r="G453" s="9" t="inlineStr">
        <is>
          <t>No</t>
        </is>
      </c>
      <c r="H453" s="13">
        <f>VLOOKUP(C453,Assumptions!$A$10:$B$15,2,FALSE)</f>
        <v/>
      </c>
      <c r="I453" s="14">
        <f>D453*H453</f>
        <v/>
      </c>
      <c r="J453" s="12">
        <f>1-(1-F453)^(Assumptions!$B$4/12)</f>
        <v/>
      </c>
      <c r="K453" s="14">
        <f>J453*I453</f>
        <v/>
      </c>
      <c r="L453" s="14">
        <f>IF(G453="Yes",(1-(1-F453*(1-Assumptions!$B$6))^(Assumptions!$B$4/12))*I453,K453)</f>
        <v/>
      </c>
    </row>
    <row r="454">
      <c r="A454" s="9" t="inlineStr">
        <is>
          <t>DF-100269</t>
        </is>
      </c>
      <c r="B454" s="9" t="inlineStr">
        <is>
          <t>Support</t>
        </is>
      </c>
      <c r="C454" s="9" t="inlineStr">
        <is>
          <t>L2 - Mid</t>
        </is>
      </c>
      <c r="D454" s="10" t="n">
        <v>66587</v>
      </c>
      <c r="E454" s="11" t="n">
        <v>12.3</v>
      </c>
      <c r="F454" s="12">
        <f>E454/100</f>
        <v/>
      </c>
      <c r="G454" s="9" t="inlineStr">
        <is>
          <t>No</t>
        </is>
      </c>
      <c r="H454" s="13">
        <f>VLOOKUP(C454,Assumptions!$A$10:$B$15,2,FALSE)</f>
        <v/>
      </c>
      <c r="I454" s="14">
        <f>D454*H454</f>
        <v/>
      </c>
      <c r="J454" s="12">
        <f>1-(1-F454)^(Assumptions!$B$4/12)</f>
        <v/>
      </c>
      <c r="K454" s="14">
        <f>J454*I454</f>
        <v/>
      </c>
      <c r="L454" s="14">
        <f>IF(G454="Yes",(1-(1-F454*(1-Assumptions!$B$6))^(Assumptions!$B$4/12))*I454,K454)</f>
        <v/>
      </c>
    </row>
    <row r="455">
      <c r="A455" s="9" t="inlineStr">
        <is>
          <t>DF-100378</t>
        </is>
      </c>
      <c r="B455" s="9" t="inlineStr">
        <is>
          <t>Engineering</t>
        </is>
      </c>
      <c r="C455" s="9" t="inlineStr">
        <is>
          <t>L3 - Senior</t>
        </is>
      </c>
      <c r="D455" s="10" t="n">
        <v>127762</v>
      </c>
      <c r="E455" s="11" t="n">
        <v>12.2</v>
      </c>
      <c r="F455" s="12">
        <f>E455/100</f>
        <v/>
      </c>
      <c r="G455" s="9" t="inlineStr">
        <is>
          <t>No</t>
        </is>
      </c>
      <c r="H455" s="13">
        <f>VLOOKUP(C455,Assumptions!$A$10:$B$15,2,FALSE)</f>
        <v/>
      </c>
      <c r="I455" s="14">
        <f>D455*H455</f>
        <v/>
      </c>
      <c r="J455" s="12">
        <f>1-(1-F455)^(Assumptions!$B$4/12)</f>
        <v/>
      </c>
      <c r="K455" s="14">
        <f>J455*I455</f>
        <v/>
      </c>
      <c r="L455" s="14">
        <f>IF(G455="Yes",(1-(1-F455*(1-Assumptions!$B$6))^(Assumptions!$B$4/12))*I455,K455)</f>
        <v/>
      </c>
    </row>
    <row r="456">
      <c r="A456" s="9" t="inlineStr">
        <is>
          <t>DF-100094</t>
        </is>
      </c>
      <c r="B456" s="9" t="inlineStr">
        <is>
          <t>Support</t>
        </is>
      </c>
      <c r="C456" s="9" t="inlineStr">
        <is>
          <t>L1 - Junior</t>
        </is>
      </c>
      <c r="D456" s="10" t="n">
        <v>42140</v>
      </c>
      <c r="E456" s="11" t="n">
        <v>12.2</v>
      </c>
      <c r="F456" s="12">
        <f>E456/100</f>
        <v/>
      </c>
      <c r="G456" s="9" t="inlineStr">
        <is>
          <t>No</t>
        </is>
      </c>
      <c r="H456" s="13">
        <f>VLOOKUP(C456,Assumptions!$A$10:$B$15,2,FALSE)</f>
        <v/>
      </c>
      <c r="I456" s="14">
        <f>D456*H456</f>
        <v/>
      </c>
      <c r="J456" s="12">
        <f>1-(1-F456)^(Assumptions!$B$4/12)</f>
        <v/>
      </c>
      <c r="K456" s="14">
        <f>J456*I456</f>
        <v/>
      </c>
      <c r="L456" s="14">
        <f>IF(G456="Yes",(1-(1-F456*(1-Assumptions!$B$6))^(Assumptions!$B$4/12))*I456,K456)</f>
        <v/>
      </c>
    </row>
    <row r="457">
      <c r="A457" s="9" t="inlineStr">
        <is>
          <t>DF-100117</t>
        </is>
      </c>
      <c r="B457" s="9" t="inlineStr">
        <is>
          <t>Engineering</t>
        </is>
      </c>
      <c r="C457" s="9" t="inlineStr">
        <is>
          <t>L3 - Senior</t>
        </is>
      </c>
      <c r="D457" s="10" t="n">
        <v>93511</v>
      </c>
      <c r="E457" s="11" t="n">
        <v>12.1</v>
      </c>
      <c r="F457" s="12">
        <f>E457/100</f>
        <v/>
      </c>
      <c r="G457" s="9" t="inlineStr">
        <is>
          <t>No</t>
        </is>
      </c>
      <c r="H457" s="13">
        <f>VLOOKUP(C457,Assumptions!$A$10:$B$15,2,FALSE)</f>
        <v/>
      </c>
      <c r="I457" s="14">
        <f>D457*H457</f>
        <v/>
      </c>
      <c r="J457" s="12">
        <f>1-(1-F457)^(Assumptions!$B$4/12)</f>
        <v/>
      </c>
      <c r="K457" s="14">
        <f>J457*I457</f>
        <v/>
      </c>
      <c r="L457" s="14">
        <f>IF(G457="Yes",(1-(1-F457*(1-Assumptions!$B$6))^(Assumptions!$B$4/12))*I457,K457)</f>
        <v/>
      </c>
    </row>
    <row r="458">
      <c r="A458" s="9" t="inlineStr">
        <is>
          <t>DF-100092</t>
        </is>
      </c>
      <c r="B458" s="9" t="inlineStr">
        <is>
          <t>Product</t>
        </is>
      </c>
      <c r="C458" s="9" t="inlineStr">
        <is>
          <t>L1 - Junior</t>
        </is>
      </c>
      <c r="D458" s="10" t="n">
        <v>59065</v>
      </c>
      <c r="E458" s="11" t="n">
        <v>12</v>
      </c>
      <c r="F458" s="12">
        <f>E458/100</f>
        <v/>
      </c>
      <c r="G458" s="9" t="inlineStr">
        <is>
          <t>No</t>
        </is>
      </c>
      <c r="H458" s="13">
        <f>VLOOKUP(C458,Assumptions!$A$10:$B$15,2,FALSE)</f>
        <v/>
      </c>
      <c r="I458" s="14">
        <f>D458*H458</f>
        <v/>
      </c>
      <c r="J458" s="12">
        <f>1-(1-F458)^(Assumptions!$B$4/12)</f>
        <v/>
      </c>
      <c r="K458" s="14">
        <f>J458*I458</f>
        <v/>
      </c>
      <c r="L458" s="14">
        <f>IF(G458="Yes",(1-(1-F458*(1-Assumptions!$B$6))^(Assumptions!$B$4/12))*I458,K458)</f>
        <v/>
      </c>
    </row>
    <row r="459">
      <c r="A459" s="9" t="inlineStr">
        <is>
          <t>DF-100655</t>
        </is>
      </c>
      <c r="B459" s="9" t="inlineStr">
        <is>
          <t>Sales</t>
        </is>
      </c>
      <c r="C459" s="9" t="inlineStr">
        <is>
          <t>L1 - Junior</t>
        </is>
      </c>
      <c r="D459" s="10" t="n">
        <v>48702</v>
      </c>
      <c r="E459" s="11" t="n">
        <v>11.9</v>
      </c>
      <c r="F459" s="12">
        <f>E459/100</f>
        <v/>
      </c>
      <c r="G459" s="9" t="inlineStr">
        <is>
          <t>No</t>
        </is>
      </c>
      <c r="H459" s="13">
        <f>VLOOKUP(C459,Assumptions!$A$10:$B$15,2,FALSE)</f>
        <v/>
      </c>
      <c r="I459" s="14">
        <f>D459*H459</f>
        <v/>
      </c>
      <c r="J459" s="12">
        <f>1-(1-F459)^(Assumptions!$B$4/12)</f>
        <v/>
      </c>
      <c r="K459" s="14">
        <f>J459*I459</f>
        <v/>
      </c>
      <c r="L459" s="14">
        <f>IF(G459="Yes",(1-(1-F459*(1-Assumptions!$B$6))^(Assumptions!$B$4/12))*I459,K459)</f>
        <v/>
      </c>
    </row>
    <row r="460">
      <c r="A460" s="9" t="inlineStr">
        <is>
          <t>DF-100474</t>
        </is>
      </c>
      <c r="B460" s="9" t="inlineStr">
        <is>
          <t>Operations</t>
        </is>
      </c>
      <c r="C460" s="9" t="inlineStr">
        <is>
          <t>L2 - Mid</t>
        </is>
      </c>
      <c r="D460" s="10" t="n">
        <v>66549</v>
      </c>
      <c r="E460" s="11" t="n">
        <v>11.9</v>
      </c>
      <c r="F460" s="12">
        <f>E460/100</f>
        <v/>
      </c>
      <c r="G460" s="9" t="inlineStr">
        <is>
          <t>No</t>
        </is>
      </c>
      <c r="H460" s="13">
        <f>VLOOKUP(C460,Assumptions!$A$10:$B$15,2,FALSE)</f>
        <v/>
      </c>
      <c r="I460" s="14">
        <f>D460*H460</f>
        <v/>
      </c>
      <c r="J460" s="12">
        <f>1-(1-F460)^(Assumptions!$B$4/12)</f>
        <v/>
      </c>
      <c r="K460" s="14">
        <f>J460*I460</f>
        <v/>
      </c>
      <c r="L460" s="14">
        <f>IF(G460="Yes",(1-(1-F460*(1-Assumptions!$B$6))^(Assumptions!$B$4/12))*I460,K460)</f>
        <v/>
      </c>
    </row>
    <row r="461">
      <c r="A461" s="9" t="inlineStr">
        <is>
          <t>DF-100129</t>
        </is>
      </c>
      <c r="B461" s="9" t="inlineStr">
        <is>
          <t>People/HR</t>
        </is>
      </c>
      <c r="C461" s="9" t="inlineStr">
        <is>
          <t>L5 - Manager</t>
        </is>
      </c>
      <c r="D461" s="10" t="n">
        <v>142955</v>
      </c>
      <c r="E461" s="11" t="n">
        <v>11.8</v>
      </c>
      <c r="F461" s="12">
        <f>E461/100</f>
        <v/>
      </c>
      <c r="G461" s="9" t="inlineStr">
        <is>
          <t>No</t>
        </is>
      </c>
      <c r="H461" s="13">
        <f>VLOOKUP(C461,Assumptions!$A$10:$B$15,2,FALSE)</f>
        <v/>
      </c>
      <c r="I461" s="14">
        <f>D461*H461</f>
        <v/>
      </c>
      <c r="J461" s="12">
        <f>1-(1-F461)^(Assumptions!$B$4/12)</f>
        <v/>
      </c>
      <c r="K461" s="14">
        <f>J461*I461</f>
        <v/>
      </c>
      <c r="L461" s="14">
        <f>IF(G461="Yes",(1-(1-F461*(1-Assumptions!$B$6))^(Assumptions!$B$4/12))*I461,K461)</f>
        <v/>
      </c>
    </row>
    <row r="462">
      <c r="A462" s="9" t="inlineStr">
        <is>
          <t>DF-100398</t>
        </is>
      </c>
      <c r="B462" s="9" t="inlineStr">
        <is>
          <t>Finance</t>
        </is>
      </c>
      <c r="C462" s="9" t="inlineStr">
        <is>
          <t>L2 - Mid</t>
        </is>
      </c>
      <c r="D462" s="10" t="n">
        <v>76731</v>
      </c>
      <c r="E462" s="11" t="n">
        <v>11.8</v>
      </c>
      <c r="F462" s="12">
        <f>E462/100</f>
        <v/>
      </c>
      <c r="G462" s="9" t="inlineStr">
        <is>
          <t>No</t>
        </is>
      </c>
      <c r="H462" s="13">
        <f>VLOOKUP(C462,Assumptions!$A$10:$B$15,2,FALSE)</f>
        <v/>
      </c>
      <c r="I462" s="14">
        <f>D462*H462</f>
        <v/>
      </c>
      <c r="J462" s="12">
        <f>1-(1-F462)^(Assumptions!$B$4/12)</f>
        <v/>
      </c>
      <c r="K462" s="14">
        <f>J462*I462</f>
        <v/>
      </c>
      <c r="L462" s="14">
        <f>IF(G462="Yes",(1-(1-F462*(1-Assumptions!$B$6))^(Assumptions!$B$4/12))*I462,K462)</f>
        <v/>
      </c>
    </row>
    <row r="463">
      <c r="A463" s="9" t="inlineStr">
        <is>
          <t>DF-100039</t>
        </is>
      </c>
      <c r="B463" s="9" t="inlineStr">
        <is>
          <t>Data &amp; Analytics</t>
        </is>
      </c>
      <c r="C463" s="9" t="inlineStr">
        <is>
          <t>L3 - Senior</t>
        </is>
      </c>
      <c r="D463" s="10" t="n">
        <v>86073</v>
      </c>
      <c r="E463" s="11" t="n">
        <v>11.8</v>
      </c>
      <c r="F463" s="12">
        <f>E463/100</f>
        <v/>
      </c>
      <c r="G463" s="9" t="inlineStr">
        <is>
          <t>No</t>
        </is>
      </c>
      <c r="H463" s="13">
        <f>VLOOKUP(C463,Assumptions!$A$10:$B$15,2,FALSE)</f>
        <v/>
      </c>
      <c r="I463" s="14">
        <f>D463*H463</f>
        <v/>
      </c>
      <c r="J463" s="12">
        <f>1-(1-F463)^(Assumptions!$B$4/12)</f>
        <v/>
      </c>
      <c r="K463" s="14">
        <f>J463*I463</f>
        <v/>
      </c>
      <c r="L463" s="14">
        <f>IF(G463="Yes",(1-(1-F463*(1-Assumptions!$B$6))^(Assumptions!$B$4/12))*I463,K463)</f>
        <v/>
      </c>
    </row>
    <row r="464">
      <c r="A464" s="9" t="inlineStr">
        <is>
          <t>DF-100329</t>
        </is>
      </c>
      <c r="B464" s="9" t="inlineStr">
        <is>
          <t>Sales</t>
        </is>
      </c>
      <c r="C464" s="9" t="inlineStr">
        <is>
          <t>L1 - Junior</t>
        </is>
      </c>
      <c r="D464" s="10" t="n">
        <v>56313</v>
      </c>
      <c r="E464" s="11" t="n">
        <v>11.7</v>
      </c>
      <c r="F464" s="12">
        <f>E464/100</f>
        <v/>
      </c>
      <c r="G464" s="9" t="inlineStr">
        <is>
          <t>No</t>
        </is>
      </c>
      <c r="H464" s="13">
        <f>VLOOKUP(C464,Assumptions!$A$10:$B$15,2,FALSE)</f>
        <v/>
      </c>
      <c r="I464" s="14">
        <f>D464*H464</f>
        <v/>
      </c>
      <c r="J464" s="12">
        <f>1-(1-F464)^(Assumptions!$B$4/12)</f>
        <v/>
      </c>
      <c r="K464" s="14">
        <f>J464*I464</f>
        <v/>
      </c>
      <c r="L464" s="14">
        <f>IF(G464="Yes",(1-(1-F464*(1-Assumptions!$B$6))^(Assumptions!$B$4/12))*I464,K464)</f>
        <v/>
      </c>
    </row>
    <row r="465">
      <c r="A465" s="9" t="inlineStr">
        <is>
          <t>DF-100543</t>
        </is>
      </c>
      <c r="B465" s="9" t="inlineStr">
        <is>
          <t>Support</t>
        </is>
      </c>
      <c r="C465" s="9" t="inlineStr">
        <is>
          <t>L2 - Mid</t>
        </is>
      </c>
      <c r="D465" s="10" t="n">
        <v>58371</v>
      </c>
      <c r="E465" s="11" t="n">
        <v>11.6</v>
      </c>
      <c r="F465" s="12">
        <f>E465/100</f>
        <v/>
      </c>
      <c r="G465" s="9" t="inlineStr">
        <is>
          <t>No</t>
        </is>
      </c>
      <c r="H465" s="13">
        <f>VLOOKUP(C465,Assumptions!$A$10:$B$15,2,FALSE)</f>
        <v/>
      </c>
      <c r="I465" s="14">
        <f>D465*H465</f>
        <v/>
      </c>
      <c r="J465" s="12">
        <f>1-(1-F465)^(Assumptions!$B$4/12)</f>
        <v/>
      </c>
      <c r="K465" s="14">
        <f>J465*I465</f>
        <v/>
      </c>
      <c r="L465" s="14">
        <f>IF(G465="Yes",(1-(1-F465*(1-Assumptions!$B$6))^(Assumptions!$B$4/12))*I465,K465)</f>
        <v/>
      </c>
    </row>
    <row r="466">
      <c r="A466" s="9" t="inlineStr">
        <is>
          <t>DF-100335</t>
        </is>
      </c>
      <c r="B466" s="9" t="inlineStr">
        <is>
          <t>Sales</t>
        </is>
      </c>
      <c r="C466" s="9" t="inlineStr">
        <is>
          <t>L1 - Junior</t>
        </is>
      </c>
      <c r="D466" s="10" t="n">
        <v>56407</v>
      </c>
      <c r="E466" s="11" t="n">
        <v>11.5</v>
      </c>
      <c r="F466" s="12">
        <f>E466/100</f>
        <v/>
      </c>
      <c r="G466" s="9" t="inlineStr">
        <is>
          <t>No</t>
        </is>
      </c>
      <c r="H466" s="13">
        <f>VLOOKUP(C466,Assumptions!$A$10:$B$15,2,FALSE)</f>
        <v/>
      </c>
      <c r="I466" s="14">
        <f>D466*H466</f>
        <v/>
      </c>
      <c r="J466" s="12">
        <f>1-(1-F466)^(Assumptions!$B$4/12)</f>
        <v/>
      </c>
      <c r="K466" s="14">
        <f>J466*I466</f>
        <v/>
      </c>
      <c r="L466" s="14">
        <f>IF(G466="Yes",(1-(1-F466*(1-Assumptions!$B$6))^(Assumptions!$B$4/12))*I466,K466)</f>
        <v/>
      </c>
    </row>
    <row r="467">
      <c r="A467" s="9" t="inlineStr">
        <is>
          <t>DF-100515</t>
        </is>
      </c>
      <c r="B467" s="9" t="inlineStr">
        <is>
          <t>Sales</t>
        </is>
      </c>
      <c r="C467" s="9" t="inlineStr">
        <is>
          <t>L3 - Senior</t>
        </is>
      </c>
      <c r="D467" s="10" t="n">
        <v>100079</v>
      </c>
      <c r="E467" s="11" t="n">
        <v>11.5</v>
      </c>
      <c r="F467" s="12">
        <f>E467/100</f>
        <v/>
      </c>
      <c r="G467" s="9" t="inlineStr">
        <is>
          <t>No</t>
        </is>
      </c>
      <c r="H467" s="13">
        <f>VLOOKUP(C467,Assumptions!$A$10:$B$15,2,FALSE)</f>
        <v/>
      </c>
      <c r="I467" s="14">
        <f>D467*H467</f>
        <v/>
      </c>
      <c r="J467" s="12">
        <f>1-(1-F467)^(Assumptions!$B$4/12)</f>
        <v/>
      </c>
      <c r="K467" s="14">
        <f>J467*I467</f>
        <v/>
      </c>
      <c r="L467" s="14">
        <f>IF(G467="Yes",(1-(1-F467*(1-Assumptions!$B$6))^(Assumptions!$B$4/12))*I467,K467)</f>
        <v/>
      </c>
    </row>
    <row r="468">
      <c r="A468" s="9" t="inlineStr">
        <is>
          <t>DF-100270</t>
        </is>
      </c>
      <c r="B468" s="9" t="inlineStr">
        <is>
          <t>Operations</t>
        </is>
      </c>
      <c r="C468" s="9" t="inlineStr">
        <is>
          <t>L3 - Senior</t>
        </is>
      </c>
      <c r="D468" s="10" t="n">
        <v>83857</v>
      </c>
      <c r="E468" s="11" t="n">
        <v>11.3</v>
      </c>
      <c r="F468" s="12">
        <f>E468/100</f>
        <v/>
      </c>
      <c r="G468" s="9" t="inlineStr">
        <is>
          <t>No</t>
        </is>
      </c>
      <c r="H468" s="13">
        <f>VLOOKUP(C468,Assumptions!$A$10:$B$15,2,FALSE)</f>
        <v/>
      </c>
      <c r="I468" s="14">
        <f>D468*H468</f>
        <v/>
      </c>
      <c r="J468" s="12">
        <f>1-(1-F468)^(Assumptions!$B$4/12)</f>
        <v/>
      </c>
      <c r="K468" s="14">
        <f>J468*I468</f>
        <v/>
      </c>
      <c r="L468" s="14">
        <f>IF(G468="Yes",(1-(1-F468*(1-Assumptions!$B$6))^(Assumptions!$B$4/12))*I468,K468)</f>
        <v/>
      </c>
    </row>
    <row r="469">
      <c r="A469" s="9" t="inlineStr">
        <is>
          <t>DF-100619</t>
        </is>
      </c>
      <c r="B469" s="9" t="inlineStr">
        <is>
          <t>Data &amp; Analytics</t>
        </is>
      </c>
      <c r="C469" s="9" t="inlineStr">
        <is>
          <t>L5 - Manager</t>
        </is>
      </c>
      <c r="D469" s="10" t="n">
        <v>175871</v>
      </c>
      <c r="E469" s="11" t="n">
        <v>11.2</v>
      </c>
      <c r="F469" s="12">
        <f>E469/100</f>
        <v/>
      </c>
      <c r="G469" s="9" t="inlineStr">
        <is>
          <t>No</t>
        </is>
      </c>
      <c r="H469" s="13">
        <f>VLOOKUP(C469,Assumptions!$A$10:$B$15,2,FALSE)</f>
        <v/>
      </c>
      <c r="I469" s="14">
        <f>D469*H469</f>
        <v/>
      </c>
      <c r="J469" s="12">
        <f>1-(1-F469)^(Assumptions!$B$4/12)</f>
        <v/>
      </c>
      <c r="K469" s="14">
        <f>J469*I469</f>
        <v/>
      </c>
      <c r="L469" s="14">
        <f>IF(G469="Yes",(1-(1-F469*(1-Assumptions!$B$6))^(Assumptions!$B$4/12))*I469,K469)</f>
        <v/>
      </c>
    </row>
    <row r="470">
      <c r="A470" s="9" t="inlineStr">
        <is>
          <t>DF-100625</t>
        </is>
      </c>
      <c r="B470" s="9" t="inlineStr">
        <is>
          <t>Operations</t>
        </is>
      </c>
      <c r="C470" s="9" t="inlineStr">
        <is>
          <t>L2 - Mid</t>
        </is>
      </c>
      <c r="D470" s="10" t="n">
        <v>79150</v>
      </c>
      <c r="E470" s="11" t="n">
        <v>11.2</v>
      </c>
      <c r="F470" s="12">
        <f>E470/100</f>
        <v/>
      </c>
      <c r="G470" s="9" t="inlineStr">
        <is>
          <t>No</t>
        </is>
      </c>
      <c r="H470" s="13">
        <f>VLOOKUP(C470,Assumptions!$A$10:$B$15,2,FALSE)</f>
        <v/>
      </c>
      <c r="I470" s="14">
        <f>D470*H470</f>
        <v/>
      </c>
      <c r="J470" s="12">
        <f>1-(1-F470)^(Assumptions!$B$4/12)</f>
        <v/>
      </c>
      <c r="K470" s="14">
        <f>J470*I470</f>
        <v/>
      </c>
      <c r="L470" s="14">
        <f>IF(G470="Yes",(1-(1-F470*(1-Assumptions!$B$6))^(Assumptions!$B$4/12))*I470,K470)</f>
        <v/>
      </c>
    </row>
    <row r="471">
      <c r="A471" s="9" t="inlineStr">
        <is>
          <t>DF-100308</t>
        </is>
      </c>
      <c r="B471" s="9" t="inlineStr">
        <is>
          <t>Operations</t>
        </is>
      </c>
      <c r="C471" s="9" t="inlineStr">
        <is>
          <t>L5 - Manager</t>
        </is>
      </c>
      <c r="D471" s="10" t="n">
        <v>147060</v>
      </c>
      <c r="E471" s="11" t="n">
        <v>11.2</v>
      </c>
      <c r="F471" s="12">
        <f>E471/100</f>
        <v/>
      </c>
      <c r="G471" s="9" t="inlineStr">
        <is>
          <t>No</t>
        </is>
      </c>
      <c r="H471" s="13">
        <f>VLOOKUP(C471,Assumptions!$A$10:$B$15,2,FALSE)</f>
        <v/>
      </c>
      <c r="I471" s="14">
        <f>D471*H471</f>
        <v/>
      </c>
      <c r="J471" s="12">
        <f>1-(1-F471)^(Assumptions!$B$4/12)</f>
        <v/>
      </c>
      <c r="K471" s="14">
        <f>J471*I471</f>
        <v/>
      </c>
      <c r="L471" s="14">
        <f>IF(G471="Yes",(1-(1-F471*(1-Assumptions!$B$6))^(Assumptions!$B$4/12))*I471,K471)</f>
        <v/>
      </c>
    </row>
    <row r="472">
      <c r="A472" s="9" t="inlineStr">
        <is>
          <t>DF-100423</t>
        </is>
      </c>
      <c r="B472" s="9" t="inlineStr">
        <is>
          <t>Data &amp; Analytics</t>
        </is>
      </c>
      <c r="C472" s="9" t="inlineStr">
        <is>
          <t>L1 - Junior</t>
        </is>
      </c>
      <c r="D472" s="10" t="n">
        <v>69545</v>
      </c>
      <c r="E472" s="11" t="n">
        <v>11.2</v>
      </c>
      <c r="F472" s="12">
        <f>E472/100</f>
        <v/>
      </c>
      <c r="G472" s="9" t="inlineStr">
        <is>
          <t>No</t>
        </is>
      </c>
      <c r="H472" s="13">
        <f>VLOOKUP(C472,Assumptions!$A$10:$B$15,2,FALSE)</f>
        <v/>
      </c>
      <c r="I472" s="14">
        <f>D472*H472</f>
        <v/>
      </c>
      <c r="J472" s="12">
        <f>1-(1-F472)^(Assumptions!$B$4/12)</f>
        <v/>
      </c>
      <c r="K472" s="14">
        <f>J472*I472</f>
        <v/>
      </c>
      <c r="L472" s="14">
        <f>IF(G472="Yes",(1-(1-F472*(1-Assumptions!$B$6))^(Assumptions!$B$4/12))*I472,K472)</f>
        <v/>
      </c>
    </row>
    <row r="473">
      <c r="A473" s="9" t="inlineStr">
        <is>
          <t>DF-100372</t>
        </is>
      </c>
      <c r="B473" s="9" t="inlineStr">
        <is>
          <t>Data &amp; Analytics</t>
        </is>
      </c>
      <c r="C473" s="9" t="inlineStr">
        <is>
          <t>L1 - Junior</t>
        </is>
      </c>
      <c r="D473" s="10" t="n">
        <v>63226</v>
      </c>
      <c r="E473" s="11" t="n">
        <v>11.1</v>
      </c>
      <c r="F473" s="12">
        <f>E473/100</f>
        <v/>
      </c>
      <c r="G473" s="9" t="inlineStr">
        <is>
          <t>No</t>
        </is>
      </c>
      <c r="H473" s="13">
        <f>VLOOKUP(C473,Assumptions!$A$10:$B$15,2,FALSE)</f>
        <v/>
      </c>
      <c r="I473" s="14">
        <f>D473*H473</f>
        <v/>
      </c>
      <c r="J473" s="12">
        <f>1-(1-F473)^(Assumptions!$B$4/12)</f>
        <v/>
      </c>
      <c r="K473" s="14">
        <f>J473*I473</f>
        <v/>
      </c>
      <c r="L473" s="14">
        <f>IF(G473="Yes",(1-(1-F473*(1-Assumptions!$B$6))^(Assumptions!$B$4/12))*I473,K473)</f>
        <v/>
      </c>
    </row>
    <row r="474">
      <c r="A474" s="9" t="inlineStr">
        <is>
          <t>DF-100518</t>
        </is>
      </c>
      <c r="B474" s="9" t="inlineStr">
        <is>
          <t>Sales</t>
        </is>
      </c>
      <c r="C474" s="9" t="inlineStr">
        <is>
          <t>L2 - Mid</t>
        </is>
      </c>
      <c r="D474" s="10" t="n">
        <v>71790</v>
      </c>
      <c r="E474" s="11" t="n">
        <v>11.1</v>
      </c>
      <c r="F474" s="12">
        <f>E474/100</f>
        <v/>
      </c>
      <c r="G474" s="9" t="inlineStr">
        <is>
          <t>No</t>
        </is>
      </c>
      <c r="H474" s="13">
        <f>VLOOKUP(C474,Assumptions!$A$10:$B$15,2,FALSE)</f>
        <v/>
      </c>
      <c r="I474" s="14">
        <f>D474*H474</f>
        <v/>
      </c>
      <c r="J474" s="12">
        <f>1-(1-F474)^(Assumptions!$B$4/12)</f>
        <v/>
      </c>
      <c r="K474" s="14">
        <f>J474*I474</f>
        <v/>
      </c>
      <c r="L474" s="14">
        <f>IF(G474="Yes",(1-(1-F474*(1-Assumptions!$B$6))^(Assumptions!$B$4/12))*I474,K474)</f>
        <v/>
      </c>
    </row>
    <row r="475">
      <c r="A475" s="9" t="inlineStr">
        <is>
          <t>DF-100512</t>
        </is>
      </c>
      <c r="B475" s="9" t="inlineStr">
        <is>
          <t>People/HR</t>
        </is>
      </c>
      <c r="C475" s="9" t="inlineStr">
        <is>
          <t>L3 - Senior</t>
        </is>
      </c>
      <c r="D475" s="10" t="n">
        <v>77178</v>
      </c>
      <c r="E475" s="11" t="n">
        <v>11.1</v>
      </c>
      <c r="F475" s="12">
        <f>E475/100</f>
        <v/>
      </c>
      <c r="G475" s="9" t="inlineStr">
        <is>
          <t>No</t>
        </is>
      </c>
      <c r="H475" s="13">
        <f>VLOOKUP(C475,Assumptions!$A$10:$B$15,2,FALSE)</f>
        <v/>
      </c>
      <c r="I475" s="14">
        <f>D475*H475</f>
        <v/>
      </c>
      <c r="J475" s="12">
        <f>1-(1-F475)^(Assumptions!$B$4/12)</f>
        <v/>
      </c>
      <c r="K475" s="14">
        <f>J475*I475</f>
        <v/>
      </c>
      <c r="L475" s="14">
        <f>IF(G475="Yes",(1-(1-F475*(1-Assumptions!$B$6))^(Assumptions!$B$4/12))*I475,K475)</f>
        <v/>
      </c>
    </row>
    <row r="476">
      <c r="A476" s="9" t="inlineStr">
        <is>
          <t>DF-100060</t>
        </is>
      </c>
      <c r="B476" s="9" t="inlineStr">
        <is>
          <t>Data &amp; Analytics</t>
        </is>
      </c>
      <c r="C476" s="9" t="inlineStr">
        <is>
          <t>L1 - Junior</t>
        </is>
      </c>
      <c r="D476" s="10" t="n">
        <v>62512</v>
      </c>
      <c r="E476" s="11" t="n">
        <v>11</v>
      </c>
      <c r="F476" s="12">
        <f>E476/100</f>
        <v/>
      </c>
      <c r="G476" s="9" t="inlineStr">
        <is>
          <t>No</t>
        </is>
      </c>
      <c r="H476" s="13">
        <f>VLOOKUP(C476,Assumptions!$A$10:$B$15,2,FALSE)</f>
        <v/>
      </c>
      <c r="I476" s="14">
        <f>D476*H476</f>
        <v/>
      </c>
      <c r="J476" s="12">
        <f>1-(1-F476)^(Assumptions!$B$4/12)</f>
        <v/>
      </c>
      <c r="K476" s="14">
        <f>J476*I476</f>
        <v/>
      </c>
      <c r="L476" s="14">
        <f>IF(G476="Yes",(1-(1-F476*(1-Assumptions!$B$6))^(Assumptions!$B$4/12))*I476,K476)</f>
        <v/>
      </c>
    </row>
    <row r="477">
      <c r="A477" s="9" t="inlineStr">
        <is>
          <t>DF-100356</t>
        </is>
      </c>
      <c r="B477" s="9" t="inlineStr">
        <is>
          <t>Operations</t>
        </is>
      </c>
      <c r="C477" s="9" t="inlineStr">
        <is>
          <t>L6 - Director</t>
        </is>
      </c>
      <c r="D477" s="10" t="n">
        <v>130487</v>
      </c>
      <c r="E477" s="11" t="n">
        <v>10.9</v>
      </c>
      <c r="F477" s="12">
        <f>E477/100</f>
        <v/>
      </c>
      <c r="G477" s="9" t="inlineStr">
        <is>
          <t>No</t>
        </is>
      </c>
      <c r="H477" s="13">
        <f>VLOOKUP(C477,Assumptions!$A$10:$B$15,2,FALSE)</f>
        <v/>
      </c>
      <c r="I477" s="14">
        <f>D477*H477</f>
        <v/>
      </c>
      <c r="J477" s="12">
        <f>1-(1-F477)^(Assumptions!$B$4/12)</f>
        <v/>
      </c>
      <c r="K477" s="14">
        <f>J477*I477</f>
        <v/>
      </c>
      <c r="L477" s="14">
        <f>IF(G477="Yes",(1-(1-F477*(1-Assumptions!$B$6))^(Assumptions!$B$4/12))*I477,K477)</f>
        <v/>
      </c>
    </row>
    <row r="478">
      <c r="A478" s="9" t="inlineStr">
        <is>
          <t>DF-100447</t>
        </is>
      </c>
      <c r="B478" s="9" t="inlineStr">
        <is>
          <t>Support</t>
        </is>
      </c>
      <c r="C478" s="9" t="inlineStr">
        <is>
          <t>L3 - Senior</t>
        </is>
      </c>
      <c r="D478" s="10" t="n">
        <v>74601</v>
      </c>
      <c r="E478" s="11" t="n">
        <v>10.8</v>
      </c>
      <c r="F478" s="12">
        <f>E478/100</f>
        <v/>
      </c>
      <c r="G478" s="9" t="inlineStr">
        <is>
          <t>No</t>
        </is>
      </c>
      <c r="H478" s="13">
        <f>VLOOKUP(C478,Assumptions!$A$10:$B$15,2,FALSE)</f>
        <v/>
      </c>
      <c r="I478" s="14">
        <f>D478*H478</f>
        <v/>
      </c>
      <c r="J478" s="12">
        <f>1-(1-F478)^(Assumptions!$B$4/12)</f>
        <v/>
      </c>
      <c r="K478" s="14">
        <f>J478*I478</f>
        <v/>
      </c>
      <c r="L478" s="14">
        <f>IF(G478="Yes",(1-(1-F478*(1-Assumptions!$B$6))^(Assumptions!$B$4/12))*I478,K478)</f>
        <v/>
      </c>
    </row>
    <row r="479">
      <c r="A479" s="9" t="inlineStr">
        <is>
          <t>DF-100508</t>
        </is>
      </c>
      <c r="B479" s="9" t="inlineStr">
        <is>
          <t>Data &amp; Analytics</t>
        </is>
      </c>
      <c r="C479" s="9" t="inlineStr">
        <is>
          <t>L3 - Senior</t>
        </is>
      </c>
      <c r="D479" s="10" t="n">
        <v>89827</v>
      </c>
      <c r="E479" s="11" t="n">
        <v>10.7</v>
      </c>
      <c r="F479" s="12">
        <f>E479/100</f>
        <v/>
      </c>
      <c r="G479" s="9" t="inlineStr">
        <is>
          <t>No</t>
        </is>
      </c>
      <c r="H479" s="13">
        <f>VLOOKUP(C479,Assumptions!$A$10:$B$15,2,FALSE)</f>
        <v/>
      </c>
      <c r="I479" s="14">
        <f>D479*H479</f>
        <v/>
      </c>
      <c r="J479" s="12">
        <f>1-(1-F479)^(Assumptions!$B$4/12)</f>
        <v/>
      </c>
      <c r="K479" s="14">
        <f>J479*I479</f>
        <v/>
      </c>
      <c r="L479" s="14">
        <f>IF(G479="Yes",(1-(1-F479*(1-Assumptions!$B$6))^(Assumptions!$B$4/12))*I479,K479)</f>
        <v/>
      </c>
    </row>
    <row r="480">
      <c r="A480" s="9" t="inlineStr">
        <is>
          <t>DF-100562</t>
        </is>
      </c>
      <c r="B480" s="9" t="inlineStr">
        <is>
          <t>People/HR</t>
        </is>
      </c>
      <c r="C480" s="9" t="inlineStr">
        <is>
          <t>L3 - Senior</t>
        </is>
      </c>
      <c r="D480" s="10" t="n">
        <v>80082</v>
      </c>
      <c r="E480" s="11" t="n">
        <v>10.7</v>
      </c>
      <c r="F480" s="12">
        <f>E480/100</f>
        <v/>
      </c>
      <c r="G480" s="9" t="inlineStr">
        <is>
          <t>No</t>
        </is>
      </c>
      <c r="H480" s="13">
        <f>VLOOKUP(C480,Assumptions!$A$10:$B$15,2,FALSE)</f>
        <v/>
      </c>
      <c r="I480" s="14">
        <f>D480*H480</f>
        <v/>
      </c>
      <c r="J480" s="12">
        <f>1-(1-F480)^(Assumptions!$B$4/12)</f>
        <v/>
      </c>
      <c r="K480" s="14">
        <f>J480*I480</f>
        <v/>
      </c>
      <c r="L480" s="14">
        <f>IF(G480="Yes",(1-(1-F480*(1-Assumptions!$B$6))^(Assumptions!$B$4/12))*I480,K480)</f>
        <v/>
      </c>
    </row>
    <row r="481">
      <c r="A481" s="9" t="inlineStr">
        <is>
          <t>DF-100121</t>
        </is>
      </c>
      <c r="B481" s="9" t="inlineStr">
        <is>
          <t>Sales</t>
        </is>
      </c>
      <c r="C481" s="9" t="inlineStr">
        <is>
          <t>L3 - Senior</t>
        </is>
      </c>
      <c r="D481" s="10" t="n">
        <v>106666</v>
      </c>
      <c r="E481" s="11" t="n">
        <v>10.7</v>
      </c>
      <c r="F481" s="12">
        <f>E481/100</f>
        <v/>
      </c>
      <c r="G481" s="9" t="inlineStr">
        <is>
          <t>No</t>
        </is>
      </c>
      <c r="H481" s="13">
        <f>VLOOKUP(C481,Assumptions!$A$10:$B$15,2,FALSE)</f>
        <v/>
      </c>
      <c r="I481" s="14">
        <f>D481*H481</f>
        <v/>
      </c>
      <c r="J481" s="12">
        <f>1-(1-F481)^(Assumptions!$B$4/12)</f>
        <v/>
      </c>
      <c r="K481" s="14">
        <f>J481*I481</f>
        <v/>
      </c>
      <c r="L481" s="14">
        <f>IF(G481="Yes",(1-(1-F481*(1-Assumptions!$B$6))^(Assumptions!$B$4/12))*I481,K481)</f>
        <v/>
      </c>
    </row>
    <row r="482">
      <c r="A482" s="9" t="inlineStr">
        <is>
          <t>DF-100471</t>
        </is>
      </c>
      <c r="B482" s="9" t="inlineStr">
        <is>
          <t>People/HR</t>
        </is>
      </c>
      <c r="C482" s="9" t="inlineStr">
        <is>
          <t>L2 - Mid</t>
        </is>
      </c>
      <c r="D482" s="10" t="n">
        <v>76501</v>
      </c>
      <c r="E482" s="11" t="n">
        <v>10.6</v>
      </c>
      <c r="F482" s="12">
        <f>E482/100</f>
        <v/>
      </c>
      <c r="G482" s="9" t="inlineStr">
        <is>
          <t>No</t>
        </is>
      </c>
      <c r="H482" s="13">
        <f>VLOOKUP(C482,Assumptions!$A$10:$B$15,2,FALSE)</f>
        <v/>
      </c>
      <c r="I482" s="14">
        <f>D482*H482</f>
        <v/>
      </c>
      <c r="J482" s="12">
        <f>1-(1-F482)^(Assumptions!$B$4/12)</f>
        <v/>
      </c>
      <c r="K482" s="14">
        <f>J482*I482</f>
        <v/>
      </c>
      <c r="L482" s="14">
        <f>IF(G482="Yes",(1-(1-F482*(1-Assumptions!$B$6))^(Assumptions!$B$4/12))*I482,K482)</f>
        <v/>
      </c>
    </row>
    <row r="483">
      <c r="A483" s="9" t="inlineStr">
        <is>
          <t>DF-100530</t>
        </is>
      </c>
      <c r="B483" s="9" t="inlineStr">
        <is>
          <t>Data &amp; Analytics</t>
        </is>
      </c>
      <c r="C483" s="9" t="inlineStr">
        <is>
          <t>L2 - Mid</t>
        </is>
      </c>
      <c r="D483" s="10" t="n">
        <v>79096</v>
      </c>
      <c r="E483" s="11" t="n">
        <v>10.6</v>
      </c>
      <c r="F483" s="12">
        <f>E483/100</f>
        <v/>
      </c>
      <c r="G483" s="9" t="inlineStr">
        <is>
          <t>No</t>
        </is>
      </c>
      <c r="H483" s="13">
        <f>VLOOKUP(C483,Assumptions!$A$10:$B$15,2,FALSE)</f>
        <v/>
      </c>
      <c r="I483" s="14">
        <f>D483*H483</f>
        <v/>
      </c>
      <c r="J483" s="12">
        <f>1-(1-F483)^(Assumptions!$B$4/12)</f>
        <v/>
      </c>
      <c r="K483" s="14">
        <f>J483*I483</f>
        <v/>
      </c>
      <c r="L483" s="14">
        <f>IF(G483="Yes",(1-(1-F483*(1-Assumptions!$B$6))^(Assumptions!$B$4/12))*I483,K483)</f>
        <v/>
      </c>
    </row>
    <row r="484">
      <c r="A484" s="9" t="inlineStr">
        <is>
          <t>DF-100095</t>
        </is>
      </c>
      <c r="B484" s="9" t="inlineStr">
        <is>
          <t>Sales</t>
        </is>
      </c>
      <c r="C484" s="9" t="inlineStr">
        <is>
          <t>L5 - Manager</t>
        </is>
      </c>
      <c r="D484" s="10" t="n">
        <v>126312</v>
      </c>
      <c r="E484" s="11" t="n">
        <v>10.6</v>
      </c>
      <c r="F484" s="12">
        <f>E484/100</f>
        <v/>
      </c>
      <c r="G484" s="9" t="inlineStr">
        <is>
          <t>No</t>
        </is>
      </c>
      <c r="H484" s="13">
        <f>VLOOKUP(C484,Assumptions!$A$10:$B$15,2,FALSE)</f>
        <v/>
      </c>
      <c r="I484" s="14">
        <f>D484*H484</f>
        <v/>
      </c>
      <c r="J484" s="12">
        <f>1-(1-F484)^(Assumptions!$B$4/12)</f>
        <v/>
      </c>
      <c r="K484" s="14">
        <f>J484*I484</f>
        <v/>
      </c>
      <c r="L484" s="14">
        <f>IF(G484="Yes",(1-(1-F484*(1-Assumptions!$B$6))^(Assumptions!$B$4/12))*I484,K484)</f>
        <v/>
      </c>
    </row>
    <row r="485">
      <c r="A485" s="9" t="inlineStr">
        <is>
          <t>DF-100151</t>
        </is>
      </c>
      <c r="B485" s="9" t="inlineStr">
        <is>
          <t>Operations</t>
        </is>
      </c>
      <c r="C485" s="9" t="inlineStr">
        <is>
          <t>L2 - Mid</t>
        </is>
      </c>
      <c r="D485" s="10" t="n">
        <v>66169</v>
      </c>
      <c r="E485" s="11" t="n">
        <v>10.5</v>
      </c>
      <c r="F485" s="12">
        <f>E485/100</f>
        <v/>
      </c>
      <c r="G485" s="9" t="inlineStr">
        <is>
          <t>No</t>
        </is>
      </c>
      <c r="H485" s="13">
        <f>VLOOKUP(C485,Assumptions!$A$10:$B$15,2,FALSE)</f>
        <v/>
      </c>
      <c r="I485" s="14">
        <f>D485*H485</f>
        <v/>
      </c>
      <c r="J485" s="12">
        <f>1-(1-F485)^(Assumptions!$B$4/12)</f>
        <v/>
      </c>
      <c r="K485" s="14">
        <f>J485*I485</f>
        <v/>
      </c>
      <c r="L485" s="14">
        <f>IF(G485="Yes",(1-(1-F485*(1-Assumptions!$B$6))^(Assumptions!$B$4/12))*I485,K485)</f>
        <v/>
      </c>
    </row>
    <row r="486">
      <c r="A486" s="9" t="inlineStr">
        <is>
          <t>DF-100036</t>
        </is>
      </c>
      <c r="B486" s="9" t="inlineStr">
        <is>
          <t>Data &amp; Analytics</t>
        </is>
      </c>
      <c r="C486" s="9" t="inlineStr">
        <is>
          <t>L4 - Lead</t>
        </is>
      </c>
      <c r="D486" s="10" t="n">
        <v>149814</v>
      </c>
      <c r="E486" s="11" t="n">
        <v>10.4</v>
      </c>
      <c r="F486" s="12">
        <f>E486/100</f>
        <v/>
      </c>
      <c r="G486" s="9" t="inlineStr">
        <is>
          <t>No</t>
        </is>
      </c>
      <c r="H486" s="13">
        <f>VLOOKUP(C486,Assumptions!$A$10:$B$15,2,FALSE)</f>
        <v/>
      </c>
      <c r="I486" s="14">
        <f>D486*H486</f>
        <v/>
      </c>
      <c r="J486" s="12">
        <f>1-(1-F486)^(Assumptions!$B$4/12)</f>
        <v/>
      </c>
      <c r="K486" s="14">
        <f>J486*I486</f>
        <v/>
      </c>
      <c r="L486" s="14">
        <f>IF(G486="Yes",(1-(1-F486*(1-Assumptions!$B$6))^(Assumptions!$B$4/12))*I486,K486)</f>
        <v/>
      </c>
    </row>
    <row r="487">
      <c r="A487" s="9" t="inlineStr">
        <is>
          <t>DF-100455</t>
        </is>
      </c>
      <c r="B487" s="9" t="inlineStr">
        <is>
          <t>Support</t>
        </is>
      </c>
      <c r="C487" s="9" t="inlineStr">
        <is>
          <t>L3 - Senior</t>
        </is>
      </c>
      <c r="D487" s="10" t="n">
        <v>76105</v>
      </c>
      <c r="E487" s="11" t="n">
        <v>10.2</v>
      </c>
      <c r="F487" s="12">
        <f>E487/100</f>
        <v/>
      </c>
      <c r="G487" s="9" t="inlineStr">
        <is>
          <t>No</t>
        </is>
      </c>
      <c r="H487" s="13">
        <f>VLOOKUP(C487,Assumptions!$A$10:$B$15,2,FALSE)</f>
        <v/>
      </c>
      <c r="I487" s="14">
        <f>D487*H487</f>
        <v/>
      </c>
      <c r="J487" s="12">
        <f>1-(1-F487)^(Assumptions!$B$4/12)</f>
        <v/>
      </c>
      <c r="K487" s="14">
        <f>J487*I487</f>
        <v/>
      </c>
      <c r="L487" s="14">
        <f>IF(G487="Yes",(1-(1-F487*(1-Assumptions!$B$6))^(Assumptions!$B$4/12))*I487,K487)</f>
        <v/>
      </c>
    </row>
    <row r="488">
      <c r="A488" s="9" t="inlineStr">
        <is>
          <t>DF-100254</t>
        </is>
      </c>
      <c r="B488" s="9" t="inlineStr">
        <is>
          <t>Operations</t>
        </is>
      </c>
      <c r="C488" s="9" t="inlineStr">
        <is>
          <t>L3 - Senior</t>
        </is>
      </c>
      <c r="D488" s="10" t="n">
        <v>83108</v>
      </c>
      <c r="E488" s="11" t="n">
        <v>10</v>
      </c>
      <c r="F488" s="12">
        <f>E488/100</f>
        <v/>
      </c>
      <c r="G488" s="9" t="inlineStr">
        <is>
          <t>No</t>
        </is>
      </c>
      <c r="H488" s="13">
        <f>VLOOKUP(C488,Assumptions!$A$10:$B$15,2,FALSE)</f>
        <v/>
      </c>
      <c r="I488" s="14">
        <f>D488*H488</f>
        <v/>
      </c>
      <c r="J488" s="12">
        <f>1-(1-F488)^(Assumptions!$B$4/12)</f>
        <v/>
      </c>
      <c r="K488" s="14">
        <f>J488*I488</f>
        <v/>
      </c>
      <c r="L488" s="14">
        <f>IF(G488="Yes",(1-(1-F488*(1-Assumptions!$B$6))^(Assumptions!$B$4/12))*I488,K488)</f>
        <v/>
      </c>
    </row>
    <row r="489">
      <c r="A489" s="9" t="inlineStr">
        <is>
          <t>DF-100522</t>
        </is>
      </c>
      <c r="B489" s="9" t="inlineStr">
        <is>
          <t>Support</t>
        </is>
      </c>
      <c r="C489" s="9" t="inlineStr">
        <is>
          <t>L2 - Mid</t>
        </is>
      </c>
      <c r="D489" s="10" t="n">
        <v>46330</v>
      </c>
      <c r="E489" s="11" t="n">
        <v>10</v>
      </c>
      <c r="F489" s="12">
        <f>E489/100</f>
        <v/>
      </c>
      <c r="G489" s="9" t="inlineStr">
        <is>
          <t>No</t>
        </is>
      </c>
      <c r="H489" s="13">
        <f>VLOOKUP(C489,Assumptions!$A$10:$B$15,2,FALSE)</f>
        <v/>
      </c>
      <c r="I489" s="14">
        <f>D489*H489</f>
        <v/>
      </c>
      <c r="J489" s="12">
        <f>1-(1-F489)^(Assumptions!$B$4/12)</f>
        <v/>
      </c>
      <c r="K489" s="14">
        <f>J489*I489</f>
        <v/>
      </c>
      <c r="L489" s="14">
        <f>IF(G489="Yes",(1-(1-F489*(1-Assumptions!$B$6))^(Assumptions!$B$4/12))*I489,K489)</f>
        <v/>
      </c>
    </row>
    <row r="490">
      <c r="A490" s="9" t="inlineStr">
        <is>
          <t>DF-100334</t>
        </is>
      </c>
      <c r="B490" s="9" t="inlineStr">
        <is>
          <t>Engineering</t>
        </is>
      </c>
      <c r="C490" s="9" t="inlineStr">
        <is>
          <t>L3 - Senior</t>
        </is>
      </c>
      <c r="D490" s="10" t="n">
        <v>114496</v>
      </c>
      <c r="E490" s="11" t="n">
        <v>10</v>
      </c>
      <c r="F490" s="12">
        <f>E490/100</f>
        <v/>
      </c>
      <c r="G490" s="9" t="inlineStr">
        <is>
          <t>No</t>
        </is>
      </c>
      <c r="H490" s="13">
        <f>VLOOKUP(C490,Assumptions!$A$10:$B$15,2,FALSE)</f>
        <v/>
      </c>
      <c r="I490" s="14">
        <f>D490*H490</f>
        <v/>
      </c>
      <c r="J490" s="12">
        <f>1-(1-F490)^(Assumptions!$B$4/12)</f>
        <v/>
      </c>
      <c r="K490" s="14">
        <f>J490*I490</f>
        <v/>
      </c>
      <c r="L490" s="14">
        <f>IF(G490="Yes",(1-(1-F490*(1-Assumptions!$B$6))^(Assumptions!$B$4/12))*I490,K490)</f>
        <v/>
      </c>
    </row>
    <row r="491">
      <c r="A491" s="9" t="inlineStr">
        <is>
          <t>DF-100257</t>
        </is>
      </c>
      <c r="B491" s="9" t="inlineStr">
        <is>
          <t>Product</t>
        </is>
      </c>
      <c r="C491" s="9" t="inlineStr">
        <is>
          <t>L6 - Director</t>
        </is>
      </c>
      <c r="D491" s="10" t="n">
        <v>223443</v>
      </c>
      <c r="E491" s="11" t="n">
        <v>9.9</v>
      </c>
      <c r="F491" s="12">
        <f>E491/100</f>
        <v/>
      </c>
      <c r="G491" s="9" t="inlineStr">
        <is>
          <t>No</t>
        </is>
      </c>
      <c r="H491" s="13">
        <f>VLOOKUP(C491,Assumptions!$A$10:$B$15,2,FALSE)</f>
        <v/>
      </c>
      <c r="I491" s="14">
        <f>D491*H491</f>
        <v/>
      </c>
      <c r="J491" s="12">
        <f>1-(1-F491)^(Assumptions!$B$4/12)</f>
        <v/>
      </c>
      <c r="K491" s="14">
        <f>J491*I491</f>
        <v/>
      </c>
      <c r="L491" s="14">
        <f>IF(G491="Yes",(1-(1-F491*(1-Assumptions!$B$6))^(Assumptions!$B$4/12))*I491,K491)</f>
        <v/>
      </c>
    </row>
    <row r="492">
      <c r="A492" s="9" t="inlineStr">
        <is>
          <t>DF-100337</t>
        </is>
      </c>
      <c r="B492" s="9" t="inlineStr">
        <is>
          <t>Engineering</t>
        </is>
      </c>
      <c r="C492" s="9" t="inlineStr">
        <is>
          <t>L3 - Senior</t>
        </is>
      </c>
      <c r="D492" s="10" t="n">
        <v>99170</v>
      </c>
      <c r="E492" s="11" t="n">
        <v>9.800000000000001</v>
      </c>
      <c r="F492" s="12">
        <f>E492/100</f>
        <v/>
      </c>
      <c r="G492" s="9" t="inlineStr">
        <is>
          <t>No</t>
        </is>
      </c>
      <c r="H492" s="13">
        <f>VLOOKUP(C492,Assumptions!$A$10:$B$15,2,FALSE)</f>
        <v/>
      </c>
      <c r="I492" s="14">
        <f>D492*H492</f>
        <v/>
      </c>
      <c r="J492" s="12">
        <f>1-(1-F492)^(Assumptions!$B$4/12)</f>
        <v/>
      </c>
      <c r="K492" s="14">
        <f>J492*I492</f>
        <v/>
      </c>
      <c r="L492" s="14">
        <f>IF(G492="Yes",(1-(1-F492*(1-Assumptions!$B$6))^(Assumptions!$B$4/12))*I492,K492)</f>
        <v/>
      </c>
    </row>
    <row r="493">
      <c r="A493" s="9" t="inlineStr">
        <is>
          <t>DF-100018</t>
        </is>
      </c>
      <c r="B493" s="9" t="inlineStr">
        <is>
          <t>Operations</t>
        </is>
      </c>
      <c r="C493" s="9" t="inlineStr">
        <is>
          <t>L2 - Mid</t>
        </is>
      </c>
      <c r="D493" s="10" t="n">
        <v>71700</v>
      </c>
      <c r="E493" s="11" t="n">
        <v>9.699999999999999</v>
      </c>
      <c r="F493" s="12">
        <f>E493/100</f>
        <v/>
      </c>
      <c r="G493" s="9" t="inlineStr">
        <is>
          <t>No</t>
        </is>
      </c>
      <c r="H493" s="13">
        <f>VLOOKUP(C493,Assumptions!$A$10:$B$15,2,FALSE)</f>
        <v/>
      </c>
      <c r="I493" s="14">
        <f>D493*H493</f>
        <v/>
      </c>
      <c r="J493" s="12">
        <f>1-(1-F493)^(Assumptions!$B$4/12)</f>
        <v/>
      </c>
      <c r="K493" s="14">
        <f>J493*I493</f>
        <v/>
      </c>
      <c r="L493" s="14">
        <f>IF(G493="Yes",(1-(1-F493*(1-Assumptions!$B$6))^(Assumptions!$B$4/12))*I493,K493)</f>
        <v/>
      </c>
    </row>
    <row r="494">
      <c r="A494" s="9" t="inlineStr">
        <is>
          <t>DF-100130</t>
        </is>
      </c>
      <c r="B494" s="9" t="inlineStr">
        <is>
          <t>Sales</t>
        </is>
      </c>
      <c r="C494" s="9" t="inlineStr">
        <is>
          <t>L3 - Senior</t>
        </is>
      </c>
      <c r="D494" s="10" t="n">
        <v>103231</v>
      </c>
      <c r="E494" s="11" t="n">
        <v>9.699999999999999</v>
      </c>
      <c r="F494" s="12">
        <f>E494/100</f>
        <v/>
      </c>
      <c r="G494" s="9" t="inlineStr">
        <is>
          <t>No</t>
        </is>
      </c>
      <c r="H494" s="13">
        <f>VLOOKUP(C494,Assumptions!$A$10:$B$15,2,FALSE)</f>
        <v/>
      </c>
      <c r="I494" s="14">
        <f>D494*H494</f>
        <v/>
      </c>
      <c r="J494" s="12">
        <f>1-(1-F494)^(Assumptions!$B$4/12)</f>
        <v/>
      </c>
      <c r="K494" s="14">
        <f>J494*I494</f>
        <v/>
      </c>
      <c r="L494" s="14">
        <f>IF(G494="Yes",(1-(1-F494*(1-Assumptions!$B$6))^(Assumptions!$B$4/12))*I494,K494)</f>
        <v/>
      </c>
    </row>
    <row r="495">
      <c r="A495" s="9" t="inlineStr">
        <is>
          <t>DF-100445</t>
        </is>
      </c>
      <c r="B495" s="9" t="inlineStr">
        <is>
          <t>Sales</t>
        </is>
      </c>
      <c r="C495" s="9" t="inlineStr">
        <is>
          <t>L3 - Senior</t>
        </is>
      </c>
      <c r="D495" s="10" t="n">
        <v>122772</v>
      </c>
      <c r="E495" s="11" t="n">
        <v>9.5</v>
      </c>
      <c r="F495" s="12">
        <f>E495/100</f>
        <v/>
      </c>
      <c r="G495" s="9" t="inlineStr">
        <is>
          <t>No</t>
        </is>
      </c>
      <c r="H495" s="13">
        <f>VLOOKUP(C495,Assumptions!$A$10:$B$15,2,FALSE)</f>
        <v/>
      </c>
      <c r="I495" s="14">
        <f>D495*H495</f>
        <v/>
      </c>
      <c r="J495" s="12">
        <f>1-(1-F495)^(Assumptions!$B$4/12)</f>
        <v/>
      </c>
      <c r="K495" s="14">
        <f>J495*I495</f>
        <v/>
      </c>
      <c r="L495" s="14">
        <f>IF(G495="Yes",(1-(1-F495*(1-Assumptions!$B$6))^(Assumptions!$B$4/12))*I495,K495)</f>
        <v/>
      </c>
    </row>
    <row r="496">
      <c r="A496" s="9" t="inlineStr">
        <is>
          <t>DF-100017</t>
        </is>
      </c>
      <c r="B496" s="9" t="inlineStr">
        <is>
          <t>Data &amp; Analytics</t>
        </is>
      </c>
      <c r="C496" s="9" t="inlineStr">
        <is>
          <t>L5 - Manager</t>
        </is>
      </c>
      <c r="D496" s="10" t="n">
        <v>185998</v>
      </c>
      <c r="E496" s="11" t="n">
        <v>9.4</v>
      </c>
      <c r="F496" s="12">
        <f>E496/100</f>
        <v/>
      </c>
      <c r="G496" s="9" t="inlineStr">
        <is>
          <t>No</t>
        </is>
      </c>
      <c r="H496" s="13">
        <f>VLOOKUP(C496,Assumptions!$A$10:$B$15,2,FALSE)</f>
        <v/>
      </c>
      <c r="I496" s="14">
        <f>D496*H496</f>
        <v/>
      </c>
      <c r="J496" s="12">
        <f>1-(1-F496)^(Assumptions!$B$4/12)</f>
        <v/>
      </c>
      <c r="K496" s="14">
        <f>J496*I496</f>
        <v/>
      </c>
      <c r="L496" s="14">
        <f>IF(G496="Yes",(1-(1-F496*(1-Assumptions!$B$6))^(Assumptions!$B$4/12))*I496,K496)</f>
        <v/>
      </c>
    </row>
    <row r="497">
      <c r="A497" s="9" t="inlineStr">
        <is>
          <t>DF-100237</t>
        </is>
      </c>
      <c r="B497" s="9" t="inlineStr">
        <is>
          <t>People/HR</t>
        </is>
      </c>
      <c r="C497" s="9" t="inlineStr">
        <is>
          <t>L1 - Junior</t>
        </is>
      </c>
      <c r="D497" s="10" t="n">
        <v>44382</v>
      </c>
      <c r="E497" s="11" t="n">
        <v>9.4</v>
      </c>
      <c r="F497" s="12">
        <f>E497/100</f>
        <v/>
      </c>
      <c r="G497" s="9" t="inlineStr">
        <is>
          <t>No</t>
        </is>
      </c>
      <c r="H497" s="13">
        <f>VLOOKUP(C497,Assumptions!$A$10:$B$15,2,FALSE)</f>
        <v/>
      </c>
      <c r="I497" s="14">
        <f>D497*H497</f>
        <v/>
      </c>
      <c r="J497" s="12">
        <f>1-(1-F497)^(Assumptions!$B$4/12)</f>
        <v/>
      </c>
      <c r="K497" s="14">
        <f>J497*I497</f>
        <v/>
      </c>
      <c r="L497" s="14">
        <f>IF(G497="Yes",(1-(1-F497*(1-Assumptions!$B$6))^(Assumptions!$B$4/12))*I497,K497)</f>
        <v/>
      </c>
    </row>
    <row r="498">
      <c r="A498" s="9" t="inlineStr">
        <is>
          <t>DF-100243</t>
        </is>
      </c>
      <c r="B498" s="9" t="inlineStr">
        <is>
          <t>Data &amp; Analytics</t>
        </is>
      </c>
      <c r="C498" s="9" t="inlineStr">
        <is>
          <t>L2 - Mid</t>
        </is>
      </c>
      <c r="D498" s="10" t="n">
        <v>95373</v>
      </c>
      <c r="E498" s="11" t="n">
        <v>9.300000000000001</v>
      </c>
      <c r="F498" s="12">
        <f>E498/100</f>
        <v/>
      </c>
      <c r="G498" s="9" t="inlineStr">
        <is>
          <t>No</t>
        </is>
      </c>
      <c r="H498" s="13">
        <f>VLOOKUP(C498,Assumptions!$A$10:$B$15,2,FALSE)</f>
        <v/>
      </c>
      <c r="I498" s="14">
        <f>D498*H498</f>
        <v/>
      </c>
      <c r="J498" s="12">
        <f>1-(1-F498)^(Assumptions!$B$4/12)</f>
        <v/>
      </c>
      <c r="K498" s="14">
        <f>J498*I498</f>
        <v/>
      </c>
      <c r="L498" s="14">
        <f>IF(G498="Yes",(1-(1-F498*(1-Assumptions!$B$6))^(Assumptions!$B$4/12))*I498,K498)</f>
        <v/>
      </c>
    </row>
    <row r="499">
      <c r="A499" s="9" t="inlineStr">
        <is>
          <t>DF-100331</t>
        </is>
      </c>
      <c r="B499" s="9" t="inlineStr">
        <is>
          <t>Marketing</t>
        </is>
      </c>
      <c r="C499" s="9" t="inlineStr">
        <is>
          <t>L6 - Director</t>
        </is>
      </c>
      <c r="D499" s="10" t="n">
        <v>198805</v>
      </c>
      <c r="E499" s="11" t="n">
        <v>9.1</v>
      </c>
      <c r="F499" s="12">
        <f>E499/100</f>
        <v/>
      </c>
      <c r="G499" s="9" t="inlineStr">
        <is>
          <t>No</t>
        </is>
      </c>
      <c r="H499" s="13">
        <f>VLOOKUP(C499,Assumptions!$A$10:$B$15,2,FALSE)</f>
        <v/>
      </c>
      <c r="I499" s="14">
        <f>D499*H499</f>
        <v/>
      </c>
      <c r="J499" s="12">
        <f>1-(1-F499)^(Assumptions!$B$4/12)</f>
        <v/>
      </c>
      <c r="K499" s="14">
        <f>J499*I499</f>
        <v/>
      </c>
      <c r="L499" s="14">
        <f>IF(G499="Yes",(1-(1-F499*(1-Assumptions!$B$6))^(Assumptions!$B$4/12))*I499,K499)</f>
        <v/>
      </c>
    </row>
    <row r="500">
      <c r="A500" s="9" t="inlineStr">
        <is>
          <t>DF-100618</t>
        </is>
      </c>
      <c r="B500" s="9" t="inlineStr">
        <is>
          <t>People/HR</t>
        </is>
      </c>
      <c r="C500" s="9" t="inlineStr">
        <is>
          <t>L2 - Mid</t>
        </is>
      </c>
      <c r="D500" s="10" t="n">
        <v>61792</v>
      </c>
      <c r="E500" s="11" t="n">
        <v>9</v>
      </c>
      <c r="F500" s="12">
        <f>E500/100</f>
        <v/>
      </c>
      <c r="G500" s="9" t="inlineStr">
        <is>
          <t>No</t>
        </is>
      </c>
      <c r="H500" s="13">
        <f>VLOOKUP(C500,Assumptions!$A$10:$B$15,2,FALSE)</f>
        <v/>
      </c>
      <c r="I500" s="14">
        <f>D500*H500</f>
        <v/>
      </c>
      <c r="J500" s="12">
        <f>1-(1-F500)^(Assumptions!$B$4/12)</f>
        <v/>
      </c>
      <c r="K500" s="14">
        <f>J500*I500</f>
        <v/>
      </c>
      <c r="L500" s="14">
        <f>IF(G500="Yes",(1-(1-F500*(1-Assumptions!$B$6))^(Assumptions!$B$4/12))*I500,K500)</f>
        <v/>
      </c>
    </row>
    <row r="501">
      <c r="A501" s="9" t="inlineStr">
        <is>
          <t>DF-100478</t>
        </is>
      </c>
      <c r="B501" s="9" t="inlineStr">
        <is>
          <t>Marketing</t>
        </is>
      </c>
      <c r="C501" s="9" t="inlineStr">
        <is>
          <t>L3 - Senior</t>
        </is>
      </c>
      <c r="D501" s="10" t="n">
        <v>86733</v>
      </c>
      <c r="E501" s="11" t="n">
        <v>9</v>
      </c>
      <c r="F501" s="12">
        <f>E501/100</f>
        <v/>
      </c>
      <c r="G501" s="9" t="inlineStr">
        <is>
          <t>No</t>
        </is>
      </c>
      <c r="H501" s="13">
        <f>VLOOKUP(C501,Assumptions!$A$10:$B$15,2,FALSE)</f>
        <v/>
      </c>
      <c r="I501" s="14">
        <f>D501*H501</f>
        <v/>
      </c>
      <c r="J501" s="12">
        <f>1-(1-F501)^(Assumptions!$B$4/12)</f>
        <v/>
      </c>
      <c r="K501" s="14">
        <f>J501*I501</f>
        <v/>
      </c>
      <c r="L501" s="14">
        <f>IF(G501="Yes",(1-(1-F501*(1-Assumptions!$B$6))^(Assumptions!$B$4/12))*I501,K501)</f>
        <v/>
      </c>
    </row>
    <row r="502">
      <c r="A502" s="9" t="inlineStr">
        <is>
          <t>DF-100621</t>
        </is>
      </c>
      <c r="B502" s="9" t="inlineStr">
        <is>
          <t>Marketing</t>
        </is>
      </c>
      <c r="C502" s="9" t="inlineStr">
        <is>
          <t>L4 - Lead</t>
        </is>
      </c>
      <c r="D502" s="10" t="n">
        <v>117586</v>
      </c>
      <c r="E502" s="11" t="n">
        <v>8.9</v>
      </c>
      <c r="F502" s="12">
        <f>E502/100</f>
        <v/>
      </c>
      <c r="G502" s="9" t="inlineStr">
        <is>
          <t>No</t>
        </is>
      </c>
      <c r="H502" s="13">
        <f>VLOOKUP(C502,Assumptions!$A$10:$B$15,2,FALSE)</f>
        <v/>
      </c>
      <c r="I502" s="14">
        <f>D502*H502</f>
        <v/>
      </c>
      <c r="J502" s="12">
        <f>1-(1-F502)^(Assumptions!$B$4/12)</f>
        <v/>
      </c>
      <c r="K502" s="14">
        <f>J502*I502</f>
        <v/>
      </c>
      <c r="L502" s="14">
        <f>IF(G502="Yes",(1-(1-F502*(1-Assumptions!$B$6))^(Assumptions!$B$4/12))*I502,K502)</f>
        <v/>
      </c>
    </row>
    <row r="503">
      <c r="A503" s="9" t="inlineStr">
        <is>
          <t>DF-100357</t>
        </is>
      </c>
      <c r="B503" s="9" t="inlineStr">
        <is>
          <t>Product</t>
        </is>
      </c>
      <c r="C503" s="9" t="inlineStr">
        <is>
          <t>L3 - Senior</t>
        </is>
      </c>
      <c r="D503" s="10" t="n">
        <v>131883</v>
      </c>
      <c r="E503" s="11" t="n">
        <v>8.9</v>
      </c>
      <c r="F503" s="12">
        <f>E503/100</f>
        <v/>
      </c>
      <c r="G503" s="9" t="inlineStr">
        <is>
          <t>No</t>
        </is>
      </c>
      <c r="H503" s="13">
        <f>VLOOKUP(C503,Assumptions!$A$10:$B$15,2,FALSE)</f>
        <v/>
      </c>
      <c r="I503" s="14">
        <f>D503*H503</f>
        <v/>
      </c>
      <c r="J503" s="12">
        <f>1-(1-F503)^(Assumptions!$B$4/12)</f>
        <v/>
      </c>
      <c r="K503" s="14">
        <f>J503*I503</f>
        <v/>
      </c>
      <c r="L503" s="14">
        <f>IF(G503="Yes",(1-(1-F503*(1-Assumptions!$B$6))^(Assumptions!$B$4/12))*I503,K503)</f>
        <v/>
      </c>
    </row>
    <row r="504">
      <c r="A504" s="9" t="inlineStr">
        <is>
          <t>DF-100205</t>
        </is>
      </c>
      <c r="B504" s="9" t="inlineStr">
        <is>
          <t>Sales</t>
        </is>
      </c>
      <c r="C504" s="9" t="inlineStr">
        <is>
          <t>L2 - Mid</t>
        </is>
      </c>
      <c r="D504" s="10" t="n">
        <v>76728</v>
      </c>
      <c r="E504" s="11" t="n">
        <v>8.699999999999999</v>
      </c>
      <c r="F504" s="12">
        <f>E504/100</f>
        <v/>
      </c>
      <c r="G504" s="9" t="inlineStr">
        <is>
          <t>No</t>
        </is>
      </c>
      <c r="H504" s="13">
        <f>VLOOKUP(C504,Assumptions!$A$10:$B$15,2,FALSE)</f>
        <v/>
      </c>
      <c r="I504" s="14">
        <f>D504*H504</f>
        <v/>
      </c>
      <c r="J504" s="12">
        <f>1-(1-F504)^(Assumptions!$B$4/12)</f>
        <v/>
      </c>
      <c r="K504" s="14">
        <f>J504*I504</f>
        <v/>
      </c>
      <c r="L504" s="14">
        <f>IF(G504="Yes",(1-(1-F504*(1-Assumptions!$B$6))^(Assumptions!$B$4/12))*I504,K504)</f>
        <v/>
      </c>
    </row>
    <row r="505">
      <c r="A505" s="9" t="inlineStr">
        <is>
          <t>DF-100623</t>
        </is>
      </c>
      <c r="B505" s="9" t="inlineStr">
        <is>
          <t>Finance</t>
        </is>
      </c>
      <c r="C505" s="9" t="inlineStr">
        <is>
          <t>L2 - Mid</t>
        </is>
      </c>
      <c r="D505" s="10" t="n">
        <v>72292</v>
      </c>
      <c r="E505" s="11" t="n">
        <v>8.699999999999999</v>
      </c>
      <c r="F505" s="12">
        <f>E505/100</f>
        <v/>
      </c>
      <c r="G505" s="9" t="inlineStr">
        <is>
          <t>No</t>
        </is>
      </c>
      <c r="H505" s="13">
        <f>VLOOKUP(C505,Assumptions!$A$10:$B$15,2,FALSE)</f>
        <v/>
      </c>
      <c r="I505" s="14">
        <f>D505*H505</f>
        <v/>
      </c>
      <c r="J505" s="12">
        <f>1-(1-F505)^(Assumptions!$B$4/12)</f>
        <v/>
      </c>
      <c r="K505" s="14">
        <f>J505*I505</f>
        <v/>
      </c>
      <c r="L505" s="14">
        <f>IF(G505="Yes",(1-(1-F505*(1-Assumptions!$B$6))^(Assumptions!$B$4/12))*I505,K505)</f>
        <v/>
      </c>
    </row>
    <row r="506">
      <c r="A506" s="9" t="inlineStr">
        <is>
          <t>DF-100414</t>
        </is>
      </c>
      <c r="B506" s="9" t="inlineStr">
        <is>
          <t>Engineering</t>
        </is>
      </c>
      <c r="C506" s="9" t="inlineStr">
        <is>
          <t>L2 - Mid</t>
        </is>
      </c>
      <c r="D506" s="10" t="n">
        <v>94067</v>
      </c>
      <c r="E506" s="11" t="n">
        <v>8.6</v>
      </c>
      <c r="F506" s="12">
        <f>E506/100</f>
        <v/>
      </c>
      <c r="G506" s="9" t="inlineStr">
        <is>
          <t>No</t>
        </is>
      </c>
      <c r="H506" s="13">
        <f>VLOOKUP(C506,Assumptions!$A$10:$B$15,2,FALSE)</f>
        <v/>
      </c>
      <c r="I506" s="14">
        <f>D506*H506</f>
        <v/>
      </c>
      <c r="J506" s="12">
        <f>1-(1-F506)^(Assumptions!$B$4/12)</f>
        <v/>
      </c>
      <c r="K506" s="14">
        <f>J506*I506</f>
        <v/>
      </c>
      <c r="L506" s="14">
        <f>IF(G506="Yes",(1-(1-F506*(1-Assumptions!$B$6))^(Assumptions!$B$4/12))*I506,K506)</f>
        <v/>
      </c>
    </row>
    <row r="507">
      <c r="A507" s="9" t="inlineStr">
        <is>
          <t>DF-100191</t>
        </is>
      </c>
      <c r="B507" s="9" t="inlineStr">
        <is>
          <t>Operations</t>
        </is>
      </c>
      <c r="C507" s="9" t="inlineStr">
        <is>
          <t>L3 - Senior</t>
        </is>
      </c>
      <c r="D507" s="10" t="n">
        <v>88351</v>
      </c>
      <c r="E507" s="11" t="n">
        <v>8.5</v>
      </c>
      <c r="F507" s="12">
        <f>E507/100</f>
        <v/>
      </c>
      <c r="G507" s="9" t="inlineStr">
        <is>
          <t>No</t>
        </is>
      </c>
      <c r="H507" s="13">
        <f>VLOOKUP(C507,Assumptions!$A$10:$B$15,2,FALSE)</f>
        <v/>
      </c>
      <c r="I507" s="14">
        <f>D507*H507</f>
        <v/>
      </c>
      <c r="J507" s="12">
        <f>1-(1-F507)^(Assumptions!$B$4/12)</f>
        <v/>
      </c>
      <c r="K507" s="14">
        <f>J507*I507</f>
        <v/>
      </c>
      <c r="L507" s="14">
        <f>IF(G507="Yes",(1-(1-F507*(1-Assumptions!$B$6))^(Assumptions!$B$4/12))*I507,K507)</f>
        <v/>
      </c>
    </row>
    <row r="508">
      <c r="A508" s="9" t="inlineStr">
        <is>
          <t>DF-100470</t>
        </is>
      </c>
      <c r="B508" s="9" t="inlineStr">
        <is>
          <t>Product</t>
        </is>
      </c>
      <c r="C508" s="9" t="inlineStr">
        <is>
          <t>L4 - Lead</t>
        </is>
      </c>
      <c r="D508" s="10" t="n">
        <v>147573</v>
      </c>
      <c r="E508" s="11" t="n">
        <v>8.4</v>
      </c>
      <c r="F508" s="12">
        <f>E508/100</f>
        <v/>
      </c>
      <c r="G508" s="9" t="inlineStr">
        <is>
          <t>No</t>
        </is>
      </c>
      <c r="H508" s="13">
        <f>VLOOKUP(C508,Assumptions!$A$10:$B$15,2,FALSE)</f>
        <v/>
      </c>
      <c r="I508" s="14">
        <f>D508*H508</f>
        <v/>
      </c>
      <c r="J508" s="12">
        <f>1-(1-F508)^(Assumptions!$B$4/12)</f>
        <v/>
      </c>
      <c r="K508" s="14">
        <f>J508*I508</f>
        <v/>
      </c>
      <c r="L508" s="14">
        <f>IF(G508="Yes",(1-(1-F508*(1-Assumptions!$B$6))^(Assumptions!$B$4/12))*I508,K508)</f>
        <v/>
      </c>
    </row>
    <row r="509">
      <c r="A509" s="9" t="inlineStr">
        <is>
          <t>DF-100641</t>
        </is>
      </c>
      <c r="B509" s="9" t="inlineStr">
        <is>
          <t>Marketing</t>
        </is>
      </c>
      <c r="C509" s="9" t="inlineStr">
        <is>
          <t>L3 - Senior</t>
        </is>
      </c>
      <c r="D509" s="10" t="n">
        <v>87699</v>
      </c>
      <c r="E509" s="11" t="n">
        <v>8.300000000000001</v>
      </c>
      <c r="F509" s="12">
        <f>E509/100</f>
        <v/>
      </c>
      <c r="G509" s="9" t="inlineStr">
        <is>
          <t>No</t>
        </is>
      </c>
      <c r="H509" s="13">
        <f>VLOOKUP(C509,Assumptions!$A$10:$B$15,2,FALSE)</f>
        <v/>
      </c>
      <c r="I509" s="14">
        <f>D509*H509</f>
        <v/>
      </c>
      <c r="J509" s="12">
        <f>1-(1-F509)^(Assumptions!$B$4/12)</f>
        <v/>
      </c>
      <c r="K509" s="14">
        <f>J509*I509</f>
        <v/>
      </c>
      <c r="L509" s="14">
        <f>IF(G509="Yes",(1-(1-F509*(1-Assumptions!$B$6))^(Assumptions!$B$4/12))*I509,K509)</f>
        <v/>
      </c>
    </row>
    <row r="510">
      <c r="A510" s="9" t="inlineStr">
        <is>
          <t>DF-100014</t>
        </is>
      </c>
      <c r="B510" s="9" t="inlineStr">
        <is>
          <t>Data &amp; Analytics</t>
        </is>
      </c>
      <c r="C510" s="9" t="inlineStr">
        <is>
          <t>L3 - Senior</t>
        </is>
      </c>
      <c r="D510" s="10" t="n">
        <v>109847</v>
      </c>
      <c r="E510" s="11" t="n">
        <v>8.199999999999999</v>
      </c>
      <c r="F510" s="12">
        <f>E510/100</f>
        <v/>
      </c>
      <c r="G510" s="9" t="inlineStr">
        <is>
          <t>No</t>
        </is>
      </c>
      <c r="H510" s="13">
        <f>VLOOKUP(C510,Assumptions!$A$10:$B$15,2,FALSE)</f>
        <v/>
      </c>
      <c r="I510" s="14">
        <f>D510*H510</f>
        <v/>
      </c>
      <c r="J510" s="12">
        <f>1-(1-F510)^(Assumptions!$B$4/12)</f>
        <v/>
      </c>
      <c r="K510" s="14">
        <f>J510*I510</f>
        <v/>
      </c>
      <c r="L510" s="14">
        <f>IF(G510="Yes",(1-(1-F510*(1-Assumptions!$B$6))^(Assumptions!$B$4/12))*I510,K510)</f>
        <v/>
      </c>
    </row>
    <row r="511">
      <c r="A511" s="9" t="inlineStr">
        <is>
          <t>DF-100650</t>
        </is>
      </c>
      <c r="B511" s="9" t="inlineStr">
        <is>
          <t>Marketing</t>
        </is>
      </c>
      <c r="C511" s="9" t="inlineStr">
        <is>
          <t>L3 - Senior</t>
        </is>
      </c>
      <c r="D511" s="10" t="n">
        <v>94756</v>
      </c>
      <c r="E511" s="11" t="n">
        <v>8.199999999999999</v>
      </c>
      <c r="F511" s="12">
        <f>E511/100</f>
        <v/>
      </c>
      <c r="G511" s="9" t="inlineStr">
        <is>
          <t>No</t>
        </is>
      </c>
      <c r="H511" s="13">
        <f>VLOOKUP(C511,Assumptions!$A$10:$B$15,2,FALSE)</f>
        <v/>
      </c>
      <c r="I511" s="14">
        <f>D511*H511</f>
        <v/>
      </c>
      <c r="J511" s="12">
        <f>1-(1-F511)^(Assumptions!$B$4/12)</f>
        <v/>
      </c>
      <c r="K511" s="14">
        <f>J511*I511</f>
        <v/>
      </c>
      <c r="L511" s="14">
        <f>IF(G511="Yes",(1-(1-F511*(1-Assumptions!$B$6))^(Assumptions!$B$4/12))*I511,K511)</f>
        <v/>
      </c>
    </row>
    <row r="512">
      <c r="A512" s="9" t="inlineStr">
        <is>
          <t>DF-100170</t>
        </is>
      </c>
      <c r="B512" s="9" t="inlineStr">
        <is>
          <t>Product</t>
        </is>
      </c>
      <c r="C512" s="9" t="inlineStr">
        <is>
          <t>L5 - Manager</t>
        </is>
      </c>
      <c r="D512" s="10" t="n">
        <v>167100</v>
      </c>
      <c r="E512" s="11" t="n">
        <v>8</v>
      </c>
      <c r="F512" s="12">
        <f>E512/100</f>
        <v/>
      </c>
      <c r="G512" s="9" t="inlineStr">
        <is>
          <t>No</t>
        </is>
      </c>
      <c r="H512" s="13">
        <f>VLOOKUP(C512,Assumptions!$A$10:$B$15,2,FALSE)</f>
        <v/>
      </c>
      <c r="I512" s="14">
        <f>D512*H512</f>
        <v/>
      </c>
      <c r="J512" s="12">
        <f>1-(1-F512)^(Assumptions!$B$4/12)</f>
        <v/>
      </c>
      <c r="K512" s="14">
        <f>J512*I512</f>
        <v/>
      </c>
      <c r="L512" s="14">
        <f>IF(G512="Yes",(1-(1-F512*(1-Assumptions!$B$6))^(Assumptions!$B$4/12))*I512,K512)</f>
        <v/>
      </c>
    </row>
    <row r="513">
      <c r="A513" s="9" t="inlineStr">
        <is>
          <t>DF-100112</t>
        </is>
      </c>
      <c r="B513" s="9" t="inlineStr">
        <is>
          <t>Engineering</t>
        </is>
      </c>
      <c r="C513" s="9" t="inlineStr">
        <is>
          <t>L2 - Mid</t>
        </is>
      </c>
      <c r="D513" s="10" t="n">
        <v>86148</v>
      </c>
      <c r="E513" s="11" t="n">
        <v>7.9</v>
      </c>
      <c r="F513" s="12">
        <f>E513/100</f>
        <v/>
      </c>
      <c r="G513" s="9" t="inlineStr">
        <is>
          <t>No</t>
        </is>
      </c>
      <c r="H513" s="13">
        <f>VLOOKUP(C513,Assumptions!$A$10:$B$15,2,FALSE)</f>
        <v/>
      </c>
      <c r="I513" s="14">
        <f>D513*H513</f>
        <v/>
      </c>
      <c r="J513" s="12">
        <f>1-(1-F513)^(Assumptions!$B$4/12)</f>
        <v/>
      </c>
      <c r="K513" s="14">
        <f>J513*I513</f>
        <v/>
      </c>
      <c r="L513" s="14">
        <f>IF(G513="Yes",(1-(1-F513*(1-Assumptions!$B$6))^(Assumptions!$B$4/12))*I513,K513)</f>
        <v/>
      </c>
    </row>
    <row r="514">
      <c r="A514" s="9" t="inlineStr">
        <is>
          <t>DF-100285</t>
        </is>
      </c>
      <c r="B514" s="9" t="inlineStr">
        <is>
          <t>Marketing</t>
        </is>
      </c>
      <c r="C514" s="9" t="inlineStr">
        <is>
          <t>L5 - Manager</t>
        </is>
      </c>
      <c r="D514" s="10" t="n">
        <v>108892</v>
      </c>
      <c r="E514" s="11" t="n">
        <v>7.7</v>
      </c>
      <c r="F514" s="12">
        <f>E514/100</f>
        <v/>
      </c>
      <c r="G514" s="9" t="inlineStr">
        <is>
          <t>No</t>
        </is>
      </c>
      <c r="H514" s="13">
        <f>VLOOKUP(C514,Assumptions!$A$10:$B$15,2,FALSE)</f>
        <v/>
      </c>
      <c r="I514" s="14">
        <f>D514*H514</f>
        <v/>
      </c>
      <c r="J514" s="12">
        <f>1-(1-F514)^(Assumptions!$B$4/12)</f>
        <v/>
      </c>
      <c r="K514" s="14">
        <f>J514*I514</f>
        <v/>
      </c>
      <c r="L514" s="14">
        <f>IF(G514="Yes",(1-(1-F514*(1-Assumptions!$B$6))^(Assumptions!$B$4/12))*I514,K514)</f>
        <v/>
      </c>
    </row>
    <row r="515">
      <c r="A515" s="9" t="inlineStr">
        <is>
          <t>DF-100456</t>
        </is>
      </c>
      <c r="B515" s="9" t="inlineStr">
        <is>
          <t>Product</t>
        </is>
      </c>
      <c r="C515" s="9" t="inlineStr">
        <is>
          <t>L2 - Mid</t>
        </is>
      </c>
      <c r="D515" s="10" t="n">
        <v>83256</v>
      </c>
      <c r="E515" s="11" t="n">
        <v>7.7</v>
      </c>
      <c r="F515" s="12">
        <f>E515/100</f>
        <v/>
      </c>
      <c r="G515" s="9" t="inlineStr">
        <is>
          <t>No</t>
        </is>
      </c>
      <c r="H515" s="13">
        <f>VLOOKUP(C515,Assumptions!$A$10:$B$15,2,FALSE)</f>
        <v/>
      </c>
      <c r="I515" s="14">
        <f>D515*H515</f>
        <v/>
      </c>
      <c r="J515" s="12">
        <f>1-(1-F515)^(Assumptions!$B$4/12)</f>
        <v/>
      </c>
      <c r="K515" s="14">
        <f>J515*I515</f>
        <v/>
      </c>
      <c r="L515" s="14">
        <f>IF(G515="Yes",(1-(1-F515*(1-Assumptions!$B$6))^(Assumptions!$B$4/12))*I515,K515)</f>
        <v/>
      </c>
    </row>
    <row r="516">
      <c r="A516" s="9" t="inlineStr">
        <is>
          <t>DF-100030</t>
        </is>
      </c>
      <c r="B516" s="9" t="inlineStr">
        <is>
          <t>Product</t>
        </is>
      </c>
      <c r="C516" s="9" t="inlineStr">
        <is>
          <t>L5 - Manager</t>
        </is>
      </c>
      <c r="D516" s="10" t="n">
        <v>196700</v>
      </c>
      <c r="E516" s="11" t="n">
        <v>7.5</v>
      </c>
      <c r="F516" s="12">
        <f>E516/100</f>
        <v/>
      </c>
      <c r="G516" s="9" t="inlineStr">
        <is>
          <t>No</t>
        </is>
      </c>
      <c r="H516" s="13">
        <f>VLOOKUP(C516,Assumptions!$A$10:$B$15,2,FALSE)</f>
        <v/>
      </c>
      <c r="I516" s="14">
        <f>D516*H516</f>
        <v/>
      </c>
      <c r="J516" s="12">
        <f>1-(1-F516)^(Assumptions!$B$4/12)</f>
        <v/>
      </c>
      <c r="K516" s="14">
        <f>J516*I516</f>
        <v/>
      </c>
      <c r="L516" s="14">
        <f>IF(G516="Yes",(1-(1-F516*(1-Assumptions!$B$6))^(Assumptions!$B$4/12))*I516,K516)</f>
        <v/>
      </c>
    </row>
    <row r="517">
      <c r="A517" s="9" t="inlineStr">
        <is>
          <t>DF-100608</t>
        </is>
      </c>
      <c r="B517" s="9" t="inlineStr">
        <is>
          <t>Finance</t>
        </is>
      </c>
      <c r="C517" s="9" t="inlineStr">
        <is>
          <t>L2 - Mid</t>
        </is>
      </c>
      <c r="D517" s="10" t="n">
        <v>57937</v>
      </c>
      <c r="E517" s="11" t="n">
        <v>7.4</v>
      </c>
      <c r="F517" s="12">
        <f>E517/100</f>
        <v/>
      </c>
      <c r="G517" s="9" t="inlineStr">
        <is>
          <t>No</t>
        </is>
      </c>
      <c r="H517" s="13">
        <f>VLOOKUP(C517,Assumptions!$A$10:$B$15,2,FALSE)</f>
        <v/>
      </c>
      <c r="I517" s="14">
        <f>D517*H517</f>
        <v/>
      </c>
      <c r="J517" s="12">
        <f>1-(1-F517)^(Assumptions!$B$4/12)</f>
        <v/>
      </c>
      <c r="K517" s="14">
        <f>J517*I517</f>
        <v/>
      </c>
      <c r="L517" s="14">
        <f>IF(G517="Yes",(1-(1-F517*(1-Assumptions!$B$6))^(Assumptions!$B$4/12))*I517,K517)</f>
        <v/>
      </c>
    </row>
    <row r="518">
      <c r="A518" s="9" t="inlineStr">
        <is>
          <t>DF-100666</t>
        </is>
      </c>
      <c r="B518" s="9" t="inlineStr">
        <is>
          <t>Operations</t>
        </is>
      </c>
      <c r="C518" s="9" t="inlineStr">
        <is>
          <t>L2 - Mid</t>
        </is>
      </c>
      <c r="D518" s="10" t="n">
        <v>68523</v>
      </c>
      <c r="E518" s="11" t="n">
        <v>7.2</v>
      </c>
      <c r="F518" s="12">
        <f>E518/100</f>
        <v/>
      </c>
      <c r="G518" s="9" t="inlineStr">
        <is>
          <t>No</t>
        </is>
      </c>
      <c r="H518" s="13">
        <f>VLOOKUP(C518,Assumptions!$A$10:$B$15,2,FALSE)</f>
        <v/>
      </c>
      <c r="I518" s="14">
        <f>D518*H518</f>
        <v/>
      </c>
      <c r="J518" s="12">
        <f>1-(1-F518)^(Assumptions!$B$4/12)</f>
        <v/>
      </c>
      <c r="K518" s="14">
        <f>J518*I518</f>
        <v/>
      </c>
      <c r="L518" s="14">
        <f>IF(G518="Yes",(1-(1-F518*(1-Assumptions!$B$6))^(Assumptions!$B$4/12))*I518,K518)</f>
        <v/>
      </c>
    </row>
    <row r="519">
      <c r="A519" s="9" t="inlineStr">
        <is>
          <t>DF-100123</t>
        </is>
      </c>
      <c r="B519" s="9" t="inlineStr">
        <is>
          <t>Operations</t>
        </is>
      </c>
      <c r="C519" s="9" t="inlineStr">
        <is>
          <t>L5 - Manager</t>
        </is>
      </c>
      <c r="D519" s="10" t="n">
        <v>132227</v>
      </c>
      <c r="E519" s="11" t="n">
        <v>7.2</v>
      </c>
      <c r="F519" s="12">
        <f>E519/100</f>
        <v/>
      </c>
      <c r="G519" s="9" t="inlineStr">
        <is>
          <t>No</t>
        </is>
      </c>
      <c r="H519" s="13">
        <f>VLOOKUP(C519,Assumptions!$A$10:$B$15,2,FALSE)</f>
        <v/>
      </c>
      <c r="I519" s="14">
        <f>D519*H519</f>
        <v/>
      </c>
      <c r="J519" s="12">
        <f>1-(1-F519)^(Assumptions!$B$4/12)</f>
        <v/>
      </c>
      <c r="K519" s="14">
        <f>J519*I519</f>
        <v/>
      </c>
      <c r="L519" s="14">
        <f>IF(G519="Yes",(1-(1-F519*(1-Assumptions!$B$6))^(Assumptions!$B$4/12))*I519,K519)</f>
        <v/>
      </c>
    </row>
    <row r="520">
      <c r="A520" s="9" t="inlineStr">
        <is>
          <t>DF-100004</t>
        </is>
      </c>
      <c r="B520" s="9" t="inlineStr">
        <is>
          <t>Sales</t>
        </is>
      </c>
      <c r="C520" s="9" t="inlineStr">
        <is>
          <t>L2 - Mid</t>
        </is>
      </c>
      <c r="D520" s="10" t="n">
        <v>74799</v>
      </c>
      <c r="E520" s="11" t="n">
        <v>7.1</v>
      </c>
      <c r="F520" s="12">
        <f>E520/100</f>
        <v/>
      </c>
      <c r="G520" s="9" t="inlineStr">
        <is>
          <t>No</t>
        </is>
      </c>
      <c r="H520" s="13">
        <f>VLOOKUP(C520,Assumptions!$A$10:$B$15,2,FALSE)</f>
        <v/>
      </c>
      <c r="I520" s="14">
        <f>D520*H520</f>
        <v/>
      </c>
      <c r="J520" s="12">
        <f>1-(1-F520)^(Assumptions!$B$4/12)</f>
        <v/>
      </c>
      <c r="K520" s="14">
        <f>J520*I520</f>
        <v/>
      </c>
      <c r="L520" s="14">
        <f>IF(G520="Yes",(1-(1-F520*(1-Assumptions!$B$6))^(Assumptions!$B$4/12))*I520,K520)</f>
        <v/>
      </c>
    </row>
    <row r="521">
      <c r="A521" s="9" t="inlineStr">
        <is>
          <t>DF-100500</t>
        </is>
      </c>
      <c r="B521" s="9" t="inlineStr">
        <is>
          <t>Sales</t>
        </is>
      </c>
      <c r="C521" s="9" t="inlineStr">
        <is>
          <t>L2 - Mid</t>
        </is>
      </c>
      <c r="D521" s="10" t="n">
        <v>78357</v>
      </c>
      <c r="E521" s="11" t="n">
        <v>6.7</v>
      </c>
      <c r="F521" s="12">
        <f>E521/100</f>
        <v/>
      </c>
      <c r="G521" s="9" t="inlineStr">
        <is>
          <t>No</t>
        </is>
      </c>
      <c r="H521" s="13">
        <f>VLOOKUP(C521,Assumptions!$A$10:$B$15,2,FALSE)</f>
        <v/>
      </c>
      <c r="I521" s="14">
        <f>D521*H521</f>
        <v/>
      </c>
      <c r="J521" s="12">
        <f>1-(1-F521)^(Assumptions!$B$4/12)</f>
        <v/>
      </c>
      <c r="K521" s="14">
        <f>J521*I521</f>
        <v/>
      </c>
      <c r="L521" s="14">
        <f>IF(G521="Yes",(1-(1-F521*(1-Assumptions!$B$6))^(Assumptions!$B$4/12))*I521,K521)</f>
        <v/>
      </c>
    </row>
    <row r="522">
      <c r="A522" s="9" t="inlineStr">
        <is>
          <t>DF-100037</t>
        </is>
      </c>
      <c r="B522" s="9" t="inlineStr">
        <is>
          <t>Operations</t>
        </is>
      </c>
      <c r="C522" s="9" t="inlineStr">
        <is>
          <t>L3 - Senior</t>
        </is>
      </c>
      <c r="D522" s="10" t="n">
        <v>89902</v>
      </c>
      <c r="E522" s="11" t="n">
        <v>6.5</v>
      </c>
      <c r="F522" s="12">
        <f>E522/100</f>
        <v/>
      </c>
      <c r="G522" s="9" t="inlineStr">
        <is>
          <t>No</t>
        </is>
      </c>
      <c r="H522" s="13">
        <f>VLOOKUP(C522,Assumptions!$A$10:$B$15,2,FALSE)</f>
        <v/>
      </c>
      <c r="I522" s="14">
        <f>D522*H522</f>
        <v/>
      </c>
      <c r="J522" s="12">
        <f>1-(1-F522)^(Assumptions!$B$4/12)</f>
        <v/>
      </c>
      <c r="K522" s="14">
        <f>J522*I522</f>
        <v/>
      </c>
      <c r="L522" s="14">
        <f>IF(G522="Yes",(1-(1-F522*(1-Assumptions!$B$6))^(Assumptions!$B$4/12))*I522,K522)</f>
        <v/>
      </c>
    </row>
    <row r="523">
      <c r="A523" s="9" t="inlineStr">
        <is>
          <t>DF-100437</t>
        </is>
      </c>
      <c r="B523" s="9" t="inlineStr">
        <is>
          <t>Data &amp; Analytics</t>
        </is>
      </c>
      <c r="C523" s="9" t="inlineStr">
        <is>
          <t>L2 - Mid</t>
        </is>
      </c>
      <c r="D523" s="10" t="n">
        <v>71262</v>
      </c>
      <c r="E523" s="11" t="n">
        <v>6.4</v>
      </c>
      <c r="F523" s="12">
        <f>E523/100</f>
        <v/>
      </c>
      <c r="G523" s="9" t="inlineStr">
        <is>
          <t>No</t>
        </is>
      </c>
      <c r="H523" s="13">
        <f>VLOOKUP(C523,Assumptions!$A$10:$B$15,2,FALSE)</f>
        <v/>
      </c>
      <c r="I523" s="14">
        <f>D523*H523</f>
        <v/>
      </c>
      <c r="J523" s="12">
        <f>1-(1-F523)^(Assumptions!$B$4/12)</f>
        <v/>
      </c>
      <c r="K523" s="14">
        <f>J523*I523</f>
        <v/>
      </c>
      <c r="L523" s="14">
        <f>IF(G523="Yes",(1-(1-F523*(1-Assumptions!$B$6))^(Assumptions!$B$4/12))*I523,K523)</f>
        <v/>
      </c>
    </row>
    <row r="524">
      <c r="A524" s="9" t="inlineStr">
        <is>
          <t>DF-100314</t>
        </is>
      </c>
      <c r="B524" s="9" t="inlineStr">
        <is>
          <t>Engineering</t>
        </is>
      </c>
      <c r="C524" s="9" t="inlineStr">
        <is>
          <t>L2 - Mid</t>
        </is>
      </c>
      <c r="D524" s="10" t="n">
        <v>89192</v>
      </c>
      <c r="E524" s="11" t="n">
        <v>5.7</v>
      </c>
      <c r="F524" s="12">
        <f>E524/100</f>
        <v/>
      </c>
      <c r="G524" s="9" t="inlineStr">
        <is>
          <t>No</t>
        </is>
      </c>
      <c r="H524" s="13">
        <f>VLOOKUP(C524,Assumptions!$A$10:$B$15,2,FALSE)</f>
        <v/>
      </c>
      <c r="I524" s="14">
        <f>D524*H524</f>
        <v/>
      </c>
      <c r="J524" s="12">
        <f>1-(1-F524)^(Assumptions!$B$4/12)</f>
        <v/>
      </c>
      <c r="K524" s="14">
        <f>J524*I524</f>
        <v/>
      </c>
      <c r="L524" s="14">
        <f>IF(G524="Yes",(1-(1-F524*(1-Assumptions!$B$6))^(Assumptions!$B$4/12))*I524,K524)</f>
        <v/>
      </c>
    </row>
    <row r="525">
      <c r="A525" s="9" t="inlineStr">
        <is>
          <t>DF-100144</t>
        </is>
      </c>
      <c r="B525" s="9" t="inlineStr">
        <is>
          <t>Engineering</t>
        </is>
      </c>
      <c r="C525" s="9" t="inlineStr">
        <is>
          <t>L2 - Mid</t>
        </is>
      </c>
      <c r="D525" s="10" t="n">
        <v>82660</v>
      </c>
      <c r="E525" s="11" t="n">
        <v>5.2</v>
      </c>
      <c r="F525" s="12">
        <f>E525/100</f>
        <v/>
      </c>
      <c r="G525" s="9" t="inlineStr">
        <is>
          <t>No</t>
        </is>
      </c>
      <c r="H525" s="13">
        <f>VLOOKUP(C525,Assumptions!$A$10:$B$15,2,FALSE)</f>
        <v/>
      </c>
      <c r="I525" s="14">
        <f>D525*H525</f>
        <v/>
      </c>
      <c r="J525" s="12">
        <f>1-(1-F525)^(Assumptions!$B$4/12)</f>
        <v/>
      </c>
      <c r="K525" s="14">
        <f>J525*I525</f>
        <v/>
      </c>
      <c r="L525" s="14">
        <f>IF(G525="Yes",(1-(1-F525*(1-Assumptions!$B$6))^(Assumptions!$B$4/12))*I525,K525)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24-MONTH WORKFORCE COST — SCENARIO COMPARISON (EUR)</t>
        </is>
      </c>
    </row>
    <row r="3">
      <c r="A3" s="15" t="inlineStr">
        <is>
          <t>Component</t>
        </is>
      </c>
      <c r="B3" s="15" t="inlineStr">
        <is>
          <t>A. Status Quo</t>
        </is>
      </c>
      <c r="C3" s="15" t="inlineStr">
        <is>
          <t>B. Proactive Retention</t>
        </is>
      </c>
      <c r="D3" s="15" t="inlineStr">
        <is>
          <t>C. Reactive (Do Nothing)</t>
        </is>
      </c>
    </row>
    <row r="4">
      <c r="A4" s="3" t="inlineStr">
        <is>
          <t>Base salary cost</t>
        </is>
      </c>
      <c r="B4" s="16">
        <f>SUM('Employee Detail'!D2:D525)*Assumptions!$B$4/12</f>
        <v/>
      </c>
      <c r="C4" s="16">
        <f>B4+SUMIF('Employee Detail'!G2:G525,"Yes",'Employee Detail'!D2:D525)*Assumptions!$B$5*Assumptions!$B$4/12</f>
        <v/>
      </c>
      <c r="D4" s="16">
        <f>B4</f>
        <v/>
      </c>
    </row>
    <row r="5">
      <c r="A5" s="3" t="inlineStr">
        <is>
          <t>Retention investment (raises)</t>
        </is>
      </c>
      <c r="B5" s="16" t="n">
        <v>0</v>
      </c>
      <c r="C5" s="16">
        <f>C4-B4</f>
        <v/>
      </c>
      <c r="D5" s="16" t="n">
        <v>0</v>
      </c>
    </row>
    <row r="6">
      <c r="A6" s="3" t="inlineStr">
        <is>
          <t>Expected replacement cost</t>
        </is>
      </c>
      <c r="B6" s="16">
        <f>SUM('Employee Detail'!K2:K525)</f>
        <v/>
      </c>
      <c r="C6" s="16">
        <f>SUM('Employee Detail'!L2:L525)</f>
        <v/>
      </c>
      <c r="D6" s="16">
        <f>B6</f>
        <v/>
      </c>
    </row>
    <row r="7">
      <c r="A7" s="3" t="inlineStr">
        <is>
          <t>Productivity gap cost</t>
        </is>
      </c>
      <c r="B7" s="16" t="n">
        <v>0</v>
      </c>
      <c r="C7" s="16" t="n">
        <v>0</v>
      </c>
      <c r="D7" s="16">
        <f>SUMPRODUCT('Employee Detail'!J2:J525,'Employee Detail'!D2:D525)*Assumptions!$B$7/12</f>
        <v/>
      </c>
    </row>
    <row r="8">
      <c r="A8" s="2" t="inlineStr">
        <is>
          <t>TOTAL 24-MONTH COST</t>
        </is>
      </c>
      <c r="B8" s="17">
        <f>B4+B6+B7</f>
        <v/>
      </c>
      <c r="C8" s="17">
        <f>C4+C6+C7</f>
        <v/>
      </c>
      <c r="D8" s="17">
        <f>D4+D6+D7</f>
        <v/>
      </c>
    </row>
    <row r="10">
      <c r="A10" s="6" t="inlineStr">
        <is>
          <t>Cost vs Status Quo</t>
        </is>
      </c>
      <c r="B10" s="16">
        <f>B8-$B$8</f>
        <v/>
      </c>
      <c r="C10" s="16">
        <f>C8-$B$8</f>
        <v/>
      </c>
      <c r="D10" s="16">
        <f>D8-$B$8</f>
        <v/>
      </c>
    </row>
    <row r="12">
      <c r="A12" s="6" t="inlineStr">
        <is>
          <t>Net saving: Proactive vs Reactive</t>
        </is>
      </c>
      <c r="B12" s="16">
        <f>D8-C8</f>
        <v/>
      </c>
      <c r="C12" s="16" t="n"/>
      <c r="D12" s="16" t="n"/>
    </row>
    <row r="14">
      <c r="A14" s="18" t="inlineStr">
        <is>
          <t>Read: Proactive retention spends on targeted raises but avoids most replacement cost; Reactive eats full replacement plus a productivity gap.</t>
        </is>
      </c>
    </row>
  </sheetData>
  <mergeCells count="2">
    <mergeCell ref="A1:E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2026-06-28T19:43:47Z</dcterms:created>
  <dcterms:modified xsi:type="dcterms:W3CDTF">2026-06-28T19:43:47Z</dcterms:modified>
</cp:coreProperties>
</file>